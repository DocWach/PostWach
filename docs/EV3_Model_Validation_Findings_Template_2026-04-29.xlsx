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ndings Log" sheetId="2" state="visible" r:id="rId2"/>
    <sheet xmlns:r="http://schemas.openxmlformats.org/officeDocument/2006/relationships" name="Phase 1 BOM" sheetId="3" state="visible" r:id="rId3"/>
    <sheet xmlns:r="http://schemas.openxmlformats.org/officeDocument/2006/relationships" name="Phase 3A Multiplicity" sheetId="4" state="visible" r:id="rId4"/>
    <sheet xmlns:r="http://schemas.openxmlformats.org/officeDocument/2006/relationships" name="Phase 3B Interfaces" sheetId="5" state="visible" r:id="rId5"/>
    <sheet xmlns:r="http://schemas.openxmlformats.org/officeDocument/2006/relationships" name="Phase 3C Attributes" sheetId="6" state="visible" r:id="rId6"/>
    <sheet xmlns:r="http://schemas.openxmlformats.org/officeDocument/2006/relationships" name="Verdict Summary" sheetId="7" state="visible" r:id="rId7"/>
  </sheets>
  <definedNames>
    <definedName name="BOM_Kit">'Phase 1 BOM'!$A$12:$A$411</definedName>
    <definedName name="BOM_SysML_Qty">'Phase 1 BOM'!$D$12:$D$411</definedName>
    <definedName name="BOM_Pub_Qty">'Phase 1 BOM'!$E$12:$E$411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8"/>
      <sz val="14"/>
    </font>
    <font>
      <b val="1"/>
      <color rgb="001F4E78"/>
      <sz val="11"/>
    </font>
    <font>
      <b val="1"/>
    </font>
    <font>
      <i val="1"/>
      <color rgb="00595959"/>
      <sz val="10"/>
    </font>
    <font>
      <b val="1"/>
      <color rgb="00FFFFFF"/>
      <sz val="11"/>
    </font>
    <font>
      <b val="1"/>
      <color rgb="001F4E78"/>
      <sz val="13"/>
    </font>
    <font>
      <b val="1"/>
      <sz val="12"/>
    </font>
  </fonts>
  <fills count="4">
    <fill>
      <patternFill/>
    </fill>
    <fill>
      <patternFill patternType="gray125"/>
    </fill>
    <fill>
      <patternFill patternType="solid">
        <fgColor rgb="00FFF2CC"/>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top" wrapText="1"/>
    </xf>
    <xf numFmtId="0" fontId="0" fillId="0" borderId="1" applyAlignment="1" pivotButton="0" quotePrefix="0" xfId="0">
      <alignment vertical="top" wrapText="1"/>
    </xf>
    <xf numFmtId="0" fontId="6" fillId="0" borderId="0" pivotButton="0" quotePrefix="0" xfId="0"/>
    <xf numFmtId="0" fontId="7"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90" customWidth="1" min="2" max="2"/>
  </cols>
  <sheetData>
    <row r="1">
      <c r="A1" s="1" t="inlineStr">
        <is>
          <t>EV3 Model Validation: Findings Workbook</t>
        </is>
      </c>
    </row>
    <row r="2">
      <c r="A2" t="inlineStr">
        <is>
          <t>Companion to:</t>
        </is>
      </c>
      <c r="B2" t="inlineStr">
        <is>
          <t>EV3_Model_Validation_Student_Brief_2026-04-29.pdf</t>
        </is>
      </c>
    </row>
    <row r="3">
      <c r="A3" t="inlineStr">
        <is>
          <t>Repo:</t>
        </is>
      </c>
      <c r="B3" t="inlineStr">
        <is>
          <t>https://github.com/DocWach/Lego-EV3-Mindstorm-Models</t>
        </is>
      </c>
    </row>
    <row r="5">
      <c r="A5" s="2" t="inlineStr">
        <is>
          <t>How to use</t>
        </is>
      </c>
    </row>
    <row r="6">
      <c r="A6" s="3" t="inlineStr">
        <is>
          <t>1.</t>
        </is>
      </c>
      <c r="B6" s="3" t="inlineStr">
        <is>
          <t>Read the student brief PDF first. This workbook holds the structured findings; the brief explains the workflow.</t>
        </is>
      </c>
    </row>
    <row r="7">
      <c r="A7" s="3" t="inlineStr">
        <is>
          <t>2.</t>
        </is>
      </c>
      <c r="B7" s="3" t="inlineStr">
        <is>
          <t>Phase 1 (BOM): fill in 'Phase 1 BOM' as you parse the three kit SysML files.</t>
        </is>
      </c>
    </row>
    <row r="8">
      <c r="A8" s="3" t="inlineStr">
        <is>
          <t>3.</t>
        </is>
      </c>
      <c r="B8" s="3" t="inlineStr">
        <is>
          <t>Phase 2 (Walk-through): use 'Findings Log' for every smell. Aim for at least 12 substantive entries.</t>
        </is>
      </c>
    </row>
    <row r="9">
      <c r="A9" s="3" t="inlineStr">
        <is>
          <t>4.</t>
        </is>
      </c>
      <c r="B9" s="3" t="inlineStr">
        <is>
          <t>Phase 3 studies: use the three dedicated sheets ('Phase 3A Multiplicity', 'Phase 3B Interfaces', 'Phase 3C Attributes').</t>
        </is>
      </c>
    </row>
    <row r="10">
      <c r="A10" s="3" t="inlineStr">
        <is>
          <t>5.</t>
        </is>
      </c>
      <c r="B10" s="3" t="inlineStr">
        <is>
          <t>Verdict: complete 'Verdict Summary' last. Pick extend, refactor, or rebuild and justify with your strongest findings.</t>
        </is>
      </c>
    </row>
    <row r="11">
      <c r="A11" s="3" t="inlineStr">
        <is>
          <t>6.</t>
        </is>
      </c>
      <c r="B11" s="3" t="inlineStr">
        <is>
          <t>Cross-reference: cite F-NN IDs from the Findings Log in your Word report.</t>
        </is>
      </c>
    </row>
    <row r="13">
      <c r="A13" s="2" t="inlineStr">
        <is>
          <t>Severity definitions</t>
        </is>
      </c>
    </row>
    <row r="14">
      <c r="A14" s="4" t="inlineStr">
        <is>
          <t>critical</t>
        </is>
      </c>
      <c r="B14" s="3" t="inlineStr">
        <is>
          <t>Model would mislead a downstream user (PLMr, SysMLv2 hive, future student). Wrong part identity, wrong kit composition, mating constraint that contradicts physics.</t>
        </is>
      </c>
    </row>
    <row r="15">
      <c r="A15" s="4" t="inlineStr">
        <is>
          <t>major</t>
        </is>
      </c>
      <c r="B15" s="3" t="inlineStr">
        <is>
          <t>Structural choice that should change. Duplicate definitions, multiplicity captured inconsistently, attribute missing where a real-world specification exists.</t>
        </is>
      </c>
    </row>
    <row r="16">
      <c r="A16" s="4" t="inlineStr">
        <is>
          <t>minor</t>
        </is>
      </c>
      <c r="B16" s="3" t="inlineStr">
        <is>
          <t>Cosmetic or local issue. Naming inconsistency, comment missing, attribute formatting. Worth logging but not blocking.</t>
        </is>
      </c>
    </row>
    <row r="18">
      <c r="A18" s="2" t="inlineStr">
        <is>
          <t>Phase codes</t>
        </is>
      </c>
    </row>
    <row r="19">
      <c r="A19" s="4" t="inlineStr">
        <is>
          <t>1</t>
        </is>
      </c>
      <c r="B19" s="3" t="inlineStr">
        <is>
          <t>Hands-on orientation + kit BOM piece-count validation.</t>
        </is>
      </c>
    </row>
    <row r="20">
      <c r="A20" s="4" t="inlineStr">
        <is>
          <t>2</t>
        </is>
      </c>
      <c r="B20" s="3" t="inlineStr">
        <is>
          <t>Inductive walk-through smell log.</t>
        </is>
      </c>
    </row>
    <row r="21">
      <c r="A21" s="4" t="inlineStr">
        <is>
          <t>3A</t>
        </is>
      </c>
      <c r="B21" s="3" t="inlineStr">
        <is>
          <t>Multiplicity and roll-up study.</t>
        </is>
      </c>
    </row>
    <row r="22">
      <c r="A22" s="4" t="inlineStr">
        <is>
          <t>3B</t>
        </is>
      </c>
      <c r="B22" s="3" t="inlineStr">
        <is>
          <t>Interface capture study.</t>
        </is>
      </c>
    </row>
    <row r="23">
      <c r="A23" s="4" t="inlineStr">
        <is>
          <t>3C</t>
        </is>
      </c>
      <c r="B23" s="3" t="inlineStr">
        <is>
          <t>Attribute correctness with physical measurement.</t>
        </is>
      </c>
    </row>
    <row r="24">
      <c r="A24" s="4" t="inlineStr">
        <is>
          <t>ad-hoc</t>
        </is>
      </c>
      <c r="B24" s="3" t="inlineStr">
        <is>
          <t>Surprise findings outside any defined phase.</t>
        </is>
      </c>
    </row>
    <row r="26">
      <c r="A26" s="2" t="inlineStr">
        <is>
          <t>Reviewer notes</t>
        </is>
      </c>
      <c r="B26" s="5" t="inlineStr">
        <is>
          <t>Leave the 'PostWach Notes' columns blank. PostWach fills these during review.</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0" customWidth="1" min="3" max="3"/>
    <col width="32" customWidth="1" min="4" max="4"/>
    <col width="11" customWidth="1" min="5" max="5"/>
    <col width="45" customWidth="1" min="6" max="6"/>
    <col width="35" customWidth="1" min="7" max="7"/>
    <col width="35" customWidth="1" min="8" max="8"/>
    <col width="14" customWidth="1" min="9" max="9"/>
    <col width="30" customWidth="1" min="10" max="10"/>
  </cols>
  <sheetData>
    <row r="1" ht="30" customHeight="1">
      <c r="A1" s="6" t="inlineStr">
        <is>
          <t>ID</t>
        </is>
      </c>
      <c r="B1" s="6" t="inlineStr">
        <is>
          <t>Phase</t>
        </is>
      </c>
      <c r="C1" s="6" t="inlineStr">
        <is>
          <t>Title</t>
        </is>
      </c>
      <c r="D1" s="6" t="inlineStr">
        <is>
          <t>File (sysml/...)</t>
        </is>
      </c>
      <c r="E1" s="6" t="inlineStr">
        <is>
          <t>Severity</t>
        </is>
      </c>
      <c r="F1" s="6" t="inlineStr">
        <is>
          <t>Observation</t>
        </is>
      </c>
      <c r="G1" s="6" t="inlineStr">
        <is>
          <t>Why it matters</t>
        </is>
      </c>
      <c r="H1" s="6" t="inlineStr">
        <is>
          <t>Proposed fix or question</t>
        </is>
      </c>
      <c r="I1" s="6" t="inlineStr">
        <is>
          <t>Status</t>
        </is>
      </c>
      <c r="J1" s="6" t="inlineStr">
        <is>
          <t>PostWach Notes</t>
        </is>
      </c>
    </row>
    <row r="2" ht="75" customHeight="1">
      <c r="A2" s="7" t="inlineStr">
        <is>
          <t>F-01</t>
        </is>
      </c>
      <c r="B2" s="7" t="inlineStr">
        <is>
          <t>2</t>
        </is>
      </c>
      <c r="C2" s="7" t="inlineStr">
        <is>
          <t>Duplicate brick / motors / sensors definitions across electronics/ and hardware/</t>
        </is>
      </c>
      <c r="D2" s="7" t="inlineStr">
        <is>
          <t>sysml/electronics/EV3Brick.sysml; sysml/hardware/EV3Brick.sysml</t>
        </is>
      </c>
      <c r="E2" s="7" t="inlineStr">
        <is>
          <t>major</t>
        </is>
      </c>
      <c r="F2" s="7" t="inlineStr">
        <is>
          <t>Three file pairs (EV3Brick.sysml, EV3Motors.sysml, EV3Sensors.sysml) appear in both electronics/ and hardware/. Determine whether this is intentional layering (parts vs system-level specs) or unresolved duplication.</t>
        </is>
      </c>
      <c r="G2" s="7" t="inlineStr">
        <is>
          <t>If unresolved duplication, two definitions can drift; downstream users do not know which is authoritative.</t>
        </is>
      </c>
      <c r="H2" s="7" t="inlineStr">
        <is>
          <t>Document the difference between the two copies; recommend whether to unify, retain with explicit role, or delete one.</t>
        </is>
      </c>
      <c r="I2" s="7" t="inlineStr">
        <is>
          <t>open</t>
        </is>
      </c>
      <c r="J2" s="7" t="inlineStr"/>
    </row>
    <row r="3" ht="60" customHeight="1">
      <c r="A3" s="7" t="inlineStr">
        <is>
          <t>F-02</t>
        </is>
      </c>
      <c r="B3" s="7" t="n"/>
      <c r="C3" s="7" t="n"/>
      <c r="D3" s="7" t="n"/>
      <c r="E3" s="7" t="n"/>
      <c r="F3" s="7" t="n"/>
      <c r="G3" s="7" t="n"/>
      <c r="H3" s="7" t="n"/>
      <c r="I3" s="7" t="n"/>
      <c r="J3" s="7" t="n"/>
    </row>
    <row r="4" ht="60" customHeight="1">
      <c r="A4" s="7" t="inlineStr">
        <is>
          <t>F-03</t>
        </is>
      </c>
      <c r="B4" s="7" t="n"/>
      <c r="C4" s="7" t="n"/>
      <c r="D4" s="7" t="n"/>
      <c r="E4" s="7" t="n"/>
      <c r="F4" s="7" t="n"/>
      <c r="G4" s="7" t="n"/>
      <c r="H4" s="7" t="n"/>
      <c r="I4" s="7" t="n"/>
      <c r="J4" s="7" t="n"/>
    </row>
    <row r="5" ht="60" customHeight="1">
      <c r="A5" s="7" t="inlineStr">
        <is>
          <t>F-04</t>
        </is>
      </c>
      <c r="B5" s="7" t="n"/>
      <c r="C5" s="7" t="n"/>
      <c r="D5" s="7" t="n"/>
      <c r="E5" s="7" t="n"/>
      <c r="F5" s="7" t="n"/>
      <c r="G5" s="7" t="n"/>
      <c r="H5" s="7" t="n"/>
      <c r="I5" s="7" t="n"/>
      <c r="J5" s="7" t="n"/>
    </row>
    <row r="6" ht="60" customHeight="1">
      <c r="A6" s="7" t="inlineStr">
        <is>
          <t>F-05</t>
        </is>
      </c>
      <c r="B6" s="7" t="n"/>
      <c r="C6" s="7" t="n"/>
      <c r="D6" s="7" t="n"/>
      <c r="E6" s="7" t="n"/>
      <c r="F6" s="7" t="n"/>
      <c r="G6" s="7" t="n"/>
      <c r="H6" s="7" t="n"/>
      <c r="I6" s="7" t="n"/>
      <c r="J6" s="7" t="n"/>
    </row>
    <row r="7" ht="60" customHeight="1">
      <c r="A7" s="7" t="inlineStr">
        <is>
          <t>F-06</t>
        </is>
      </c>
      <c r="B7" s="7" t="n"/>
      <c r="C7" s="7" t="n"/>
      <c r="D7" s="7" t="n"/>
      <c r="E7" s="7" t="n"/>
      <c r="F7" s="7" t="n"/>
      <c r="G7" s="7" t="n"/>
      <c r="H7" s="7" t="n"/>
      <c r="I7" s="7" t="n"/>
      <c r="J7" s="7" t="n"/>
    </row>
    <row r="8" ht="60" customHeight="1">
      <c r="A8" s="7" t="inlineStr">
        <is>
          <t>F-07</t>
        </is>
      </c>
      <c r="B8" s="7" t="n"/>
      <c r="C8" s="7" t="n"/>
      <c r="D8" s="7" t="n"/>
      <c r="E8" s="7" t="n"/>
      <c r="F8" s="7" t="n"/>
      <c r="G8" s="7" t="n"/>
      <c r="H8" s="7" t="n"/>
      <c r="I8" s="7" t="n"/>
      <c r="J8" s="7" t="n"/>
    </row>
    <row r="9" ht="60" customHeight="1">
      <c r="A9" s="7" t="inlineStr">
        <is>
          <t>F-08</t>
        </is>
      </c>
      <c r="B9" s="7" t="n"/>
      <c r="C9" s="7" t="n"/>
      <c r="D9" s="7" t="n"/>
      <c r="E9" s="7" t="n"/>
      <c r="F9" s="7" t="n"/>
      <c r="G9" s="7" t="n"/>
      <c r="H9" s="7" t="n"/>
      <c r="I9" s="7" t="n"/>
      <c r="J9" s="7" t="n"/>
    </row>
    <row r="10" ht="60" customHeight="1">
      <c r="A10" s="7" t="inlineStr">
        <is>
          <t>F-09</t>
        </is>
      </c>
      <c r="B10" s="7" t="n"/>
      <c r="C10" s="7" t="n"/>
      <c r="D10" s="7" t="n"/>
      <c r="E10" s="7" t="n"/>
      <c r="F10" s="7" t="n"/>
      <c r="G10" s="7" t="n"/>
      <c r="H10" s="7" t="n"/>
      <c r="I10" s="7" t="n"/>
      <c r="J10" s="7" t="n"/>
    </row>
    <row r="11" ht="60" customHeight="1">
      <c r="A11" s="7" t="inlineStr">
        <is>
          <t>F-10</t>
        </is>
      </c>
      <c r="B11" s="7" t="n"/>
      <c r="C11" s="7" t="n"/>
      <c r="D11" s="7" t="n"/>
      <c r="E11" s="7" t="n"/>
      <c r="F11" s="7" t="n"/>
      <c r="G11" s="7" t="n"/>
      <c r="H11" s="7" t="n"/>
      <c r="I11" s="7" t="n"/>
      <c r="J11" s="7" t="n"/>
    </row>
    <row r="12" ht="60" customHeight="1">
      <c r="A12" s="7" t="inlineStr">
        <is>
          <t>F-11</t>
        </is>
      </c>
      <c r="B12" s="7" t="n"/>
      <c r="C12" s="7" t="n"/>
      <c r="D12" s="7" t="n"/>
      <c r="E12" s="7" t="n"/>
      <c r="F12" s="7" t="n"/>
      <c r="G12" s="7" t="n"/>
      <c r="H12" s="7" t="n"/>
      <c r="I12" s="7" t="n"/>
      <c r="J12" s="7" t="n"/>
    </row>
    <row r="13" ht="60" customHeight="1">
      <c r="A13" s="7" t="inlineStr">
        <is>
          <t>F-12</t>
        </is>
      </c>
      <c r="B13" s="7" t="n"/>
      <c r="C13" s="7" t="n"/>
      <c r="D13" s="7" t="n"/>
      <c r="E13" s="7" t="n"/>
      <c r="F13" s="7" t="n"/>
      <c r="G13" s="7" t="n"/>
      <c r="H13" s="7" t="n"/>
      <c r="I13" s="7" t="n"/>
      <c r="J13" s="7" t="n"/>
    </row>
    <row r="14" ht="60" customHeight="1">
      <c r="A14" s="7" t="inlineStr">
        <is>
          <t>F-13</t>
        </is>
      </c>
      <c r="B14" s="7" t="n"/>
      <c r="C14" s="7" t="n"/>
      <c r="D14" s="7" t="n"/>
      <c r="E14" s="7" t="n"/>
      <c r="F14" s="7" t="n"/>
      <c r="G14" s="7" t="n"/>
      <c r="H14" s="7" t="n"/>
      <c r="I14" s="7" t="n"/>
      <c r="J14" s="7" t="n"/>
    </row>
    <row r="15" ht="60" customHeight="1">
      <c r="A15" s="7" t="inlineStr">
        <is>
          <t>F-14</t>
        </is>
      </c>
      <c r="B15" s="7" t="n"/>
      <c r="C15" s="7" t="n"/>
      <c r="D15" s="7" t="n"/>
      <c r="E15" s="7" t="n"/>
      <c r="F15" s="7" t="n"/>
      <c r="G15" s="7" t="n"/>
      <c r="H15" s="7" t="n"/>
      <c r="I15" s="7" t="n"/>
      <c r="J15" s="7" t="n"/>
    </row>
    <row r="16" ht="60" customHeight="1">
      <c r="A16" s="7" t="inlineStr">
        <is>
          <t>F-15</t>
        </is>
      </c>
      <c r="B16" s="7" t="n"/>
      <c r="C16" s="7" t="n"/>
      <c r="D16" s="7" t="n"/>
      <c r="E16" s="7" t="n"/>
      <c r="F16" s="7" t="n"/>
      <c r="G16" s="7" t="n"/>
      <c r="H16" s="7" t="n"/>
      <c r="I16" s="7" t="n"/>
      <c r="J16" s="7" t="n"/>
    </row>
    <row r="17" ht="60" customHeight="1">
      <c r="A17" s="7" t="inlineStr">
        <is>
          <t>F-16</t>
        </is>
      </c>
      <c r="B17" s="7" t="n"/>
      <c r="C17" s="7" t="n"/>
      <c r="D17" s="7" t="n"/>
      <c r="E17" s="7" t="n"/>
      <c r="F17" s="7" t="n"/>
      <c r="G17" s="7" t="n"/>
      <c r="H17" s="7" t="n"/>
      <c r="I17" s="7" t="n"/>
      <c r="J17" s="7" t="n"/>
    </row>
    <row r="18" ht="60" customHeight="1">
      <c r="A18" s="7" t="inlineStr">
        <is>
          <t>F-17</t>
        </is>
      </c>
      <c r="B18" s="7" t="n"/>
      <c r="C18" s="7" t="n"/>
      <c r="D18" s="7" t="n"/>
      <c r="E18" s="7" t="n"/>
      <c r="F18" s="7" t="n"/>
      <c r="G18" s="7" t="n"/>
      <c r="H18" s="7" t="n"/>
      <c r="I18" s="7" t="n"/>
      <c r="J18" s="7" t="n"/>
    </row>
    <row r="19" ht="60" customHeight="1">
      <c r="A19" s="7" t="inlineStr">
        <is>
          <t>F-18</t>
        </is>
      </c>
      <c r="B19" s="7" t="n"/>
      <c r="C19" s="7" t="n"/>
      <c r="D19" s="7" t="n"/>
      <c r="E19" s="7" t="n"/>
      <c r="F19" s="7" t="n"/>
      <c r="G19" s="7" t="n"/>
      <c r="H19" s="7" t="n"/>
      <c r="I19" s="7" t="n"/>
      <c r="J19" s="7" t="n"/>
    </row>
    <row r="20" ht="60" customHeight="1">
      <c r="A20" s="7" t="inlineStr">
        <is>
          <t>F-19</t>
        </is>
      </c>
      <c r="B20" s="7" t="n"/>
      <c r="C20" s="7" t="n"/>
      <c r="D20" s="7" t="n"/>
      <c r="E20" s="7" t="n"/>
      <c r="F20" s="7" t="n"/>
      <c r="G20" s="7" t="n"/>
      <c r="H20" s="7" t="n"/>
      <c r="I20" s="7" t="n"/>
      <c r="J20" s="7" t="n"/>
    </row>
    <row r="21" ht="60" customHeight="1">
      <c r="A21" s="7" t="inlineStr">
        <is>
          <t>F-20</t>
        </is>
      </c>
      <c r="B21" s="7" t="n"/>
      <c r="C21" s="7" t="n"/>
      <c r="D21" s="7" t="n"/>
      <c r="E21" s="7" t="n"/>
      <c r="F21" s="7" t="n"/>
      <c r="G21" s="7" t="n"/>
      <c r="H21" s="7" t="n"/>
      <c r="I21" s="7" t="n"/>
      <c r="J21" s="7" t="n"/>
    </row>
    <row r="22" ht="60" customHeight="1">
      <c r="A22" s="7" t="inlineStr">
        <is>
          <t>F-21</t>
        </is>
      </c>
      <c r="B22" s="7" t="n"/>
      <c r="C22" s="7" t="n"/>
      <c r="D22" s="7" t="n"/>
      <c r="E22" s="7" t="n"/>
      <c r="F22" s="7" t="n"/>
      <c r="G22" s="7" t="n"/>
      <c r="H22" s="7" t="n"/>
      <c r="I22" s="7" t="n"/>
      <c r="J22" s="7" t="n"/>
    </row>
    <row r="23" ht="60" customHeight="1">
      <c r="A23" s="7" t="inlineStr">
        <is>
          <t>F-22</t>
        </is>
      </c>
      <c r="B23" s="7" t="n"/>
      <c r="C23" s="7" t="n"/>
      <c r="D23" s="7" t="n"/>
      <c r="E23" s="7" t="n"/>
      <c r="F23" s="7" t="n"/>
      <c r="G23" s="7" t="n"/>
      <c r="H23" s="7" t="n"/>
      <c r="I23" s="7" t="n"/>
      <c r="J23" s="7" t="n"/>
    </row>
    <row r="24" ht="60" customHeight="1">
      <c r="A24" s="7" t="inlineStr">
        <is>
          <t>F-23</t>
        </is>
      </c>
      <c r="B24" s="7" t="n"/>
      <c r="C24" s="7" t="n"/>
      <c r="D24" s="7" t="n"/>
      <c r="E24" s="7" t="n"/>
      <c r="F24" s="7" t="n"/>
      <c r="G24" s="7" t="n"/>
      <c r="H24" s="7" t="n"/>
      <c r="I24" s="7" t="n"/>
      <c r="J24" s="7" t="n"/>
    </row>
    <row r="25" ht="60" customHeight="1">
      <c r="A25" s="7" t="inlineStr">
        <is>
          <t>F-24</t>
        </is>
      </c>
      <c r="B25" s="7" t="n"/>
      <c r="C25" s="7" t="n"/>
      <c r="D25" s="7" t="n"/>
      <c r="E25" s="7" t="n"/>
      <c r="F25" s="7" t="n"/>
      <c r="G25" s="7" t="n"/>
      <c r="H25" s="7" t="n"/>
      <c r="I25" s="7" t="n"/>
      <c r="J25" s="7" t="n"/>
    </row>
    <row r="26" ht="60" customHeight="1">
      <c r="A26" s="7" t="inlineStr">
        <is>
          <t>F-25</t>
        </is>
      </c>
      <c r="B26" s="7" t="n"/>
      <c r="C26" s="7" t="n"/>
      <c r="D26" s="7" t="n"/>
      <c r="E26" s="7" t="n"/>
      <c r="F26" s="7" t="n"/>
      <c r="G26" s="7" t="n"/>
      <c r="H26" s="7" t="n"/>
      <c r="I26" s="7" t="n"/>
      <c r="J26" s="7" t="n"/>
    </row>
    <row r="27" ht="60" customHeight="1">
      <c r="A27" s="7" t="inlineStr">
        <is>
          <t>F-26</t>
        </is>
      </c>
      <c r="B27" s="7" t="n"/>
      <c r="C27" s="7" t="n"/>
      <c r="D27" s="7" t="n"/>
      <c r="E27" s="7" t="n"/>
      <c r="F27" s="7" t="n"/>
      <c r="G27" s="7" t="n"/>
      <c r="H27" s="7" t="n"/>
      <c r="I27" s="7" t="n"/>
      <c r="J27" s="7" t="n"/>
    </row>
    <row r="28" ht="60" customHeight="1">
      <c r="A28" s="7" t="inlineStr">
        <is>
          <t>F-27</t>
        </is>
      </c>
      <c r="B28" s="7" t="n"/>
      <c r="C28" s="7" t="n"/>
      <c r="D28" s="7" t="n"/>
      <c r="E28" s="7" t="n"/>
      <c r="F28" s="7" t="n"/>
      <c r="G28" s="7" t="n"/>
      <c r="H28" s="7" t="n"/>
      <c r="I28" s="7" t="n"/>
      <c r="J28" s="7" t="n"/>
    </row>
    <row r="29" ht="60" customHeight="1">
      <c r="A29" s="7" t="inlineStr">
        <is>
          <t>F-28</t>
        </is>
      </c>
      <c r="B29" s="7" t="n"/>
      <c r="C29" s="7" t="n"/>
      <c r="D29" s="7" t="n"/>
      <c r="E29" s="7" t="n"/>
      <c r="F29" s="7" t="n"/>
      <c r="G29" s="7" t="n"/>
      <c r="H29" s="7" t="n"/>
      <c r="I29" s="7" t="n"/>
      <c r="J29" s="7" t="n"/>
    </row>
    <row r="30" ht="60" customHeight="1">
      <c r="A30" s="7" t="inlineStr">
        <is>
          <t>F-29</t>
        </is>
      </c>
      <c r="B30" s="7" t="n"/>
      <c r="C30" s="7" t="n"/>
      <c r="D30" s="7" t="n"/>
      <c r="E30" s="7" t="n"/>
      <c r="F30" s="7" t="n"/>
      <c r="G30" s="7" t="n"/>
      <c r="H30" s="7" t="n"/>
      <c r="I30" s="7" t="n"/>
      <c r="J30" s="7" t="n"/>
    </row>
    <row r="31" ht="60" customHeight="1">
      <c r="A31" s="7" t="inlineStr">
        <is>
          <t>F-30</t>
        </is>
      </c>
      <c r="B31" s="7" t="n"/>
      <c r="C31" s="7" t="n"/>
      <c r="D31" s="7" t="n"/>
      <c r="E31" s="7" t="n"/>
      <c r="F31" s="7" t="n"/>
      <c r="G31" s="7" t="n"/>
      <c r="H31" s="7" t="n"/>
      <c r="I31" s="7" t="n"/>
      <c r="J31" s="7" t="n"/>
    </row>
    <row r="32" ht="60" customHeight="1">
      <c r="A32" s="7" t="inlineStr">
        <is>
          <t>F-31</t>
        </is>
      </c>
      <c r="B32" s="7" t="n"/>
      <c r="C32" s="7" t="n"/>
      <c r="D32" s="7" t="n"/>
      <c r="E32" s="7" t="n"/>
      <c r="F32" s="7" t="n"/>
      <c r="G32" s="7" t="n"/>
      <c r="H32" s="7" t="n"/>
      <c r="I32" s="7" t="n"/>
      <c r="J32" s="7" t="n"/>
    </row>
    <row r="33" ht="60" customHeight="1">
      <c r="A33" s="7" t="inlineStr">
        <is>
          <t>F-32</t>
        </is>
      </c>
      <c r="B33" s="7" t="n"/>
      <c r="C33" s="7" t="n"/>
      <c r="D33" s="7" t="n"/>
      <c r="E33" s="7" t="n"/>
      <c r="F33" s="7" t="n"/>
      <c r="G33" s="7" t="n"/>
      <c r="H33" s="7" t="n"/>
      <c r="I33" s="7" t="n"/>
      <c r="J33" s="7" t="n"/>
    </row>
    <row r="34" ht="60" customHeight="1">
      <c r="A34" s="7" t="inlineStr">
        <is>
          <t>F-33</t>
        </is>
      </c>
      <c r="B34" s="7" t="n"/>
      <c r="C34" s="7" t="n"/>
      <c r="D34" s="7" t="n"/>
      <c r="E34" s="7" t="n"/>
      <c r="F34" s="7" t="n"/>
      <c r="G34" s="7" t="n"/>
      <c r="H34" s="7" t="n"/>
      <c r="I34" s="7" t="n"/>
      <c r="J34" s="7" t="n"/>
    </row>
    <row r="35" ht="60" customHeight="1">
      <c r="A35" s="7" t="inlineStr">
        <is>
          <t>F-34</t>
        </is>
      </c>
      <c r="B35" s="7" t="n"/>
      <c r="C35" s="7" t="n"/>
      <c r="D35" s="7" t="n"/>
      <c r="E35" s="7" t="n"/>
      <c r="F35" s="7" t="n"/>
      <c r="G35" s="7" t="n"/>
      <c r="H35" s="7" t="n"/>
      <c r="I35" s="7" t="n"/>
      <c r="J35" s="7" t="n"/>
    </row>
    <row r="36" ht="60" customHeight="1">
      <c r="A36" s="7" t="inlineStr">
        <is>
          <t>F-35</t>
        </is>
      </c>
      <c r="B36" s="7" t="n"/>
      <c r="C36" s="7" t="n"/>
      <c r="D36" s="7" t="n"/>
      <c r="E36" s="7" t="n"/>
      <c r="F36" s="7" t="n"/>
      <c r="G36" s="7" t="n"/>
      <c r="H36" s="7" t="n"/>
      <c r="I36" s="7" t="n"/>
      <c r="J36" s="7" t="n"/>
    </row>
    <row r="37" ht="60" customHeight="1">
      <c r="A37" s="7" t="inlineStr">
        <is>
          <t>F-36</t>
        </is>
      </c>
      <c r="B37" s="7" t="n"/>
      <c r="C37" s="7" t="n"/>
      <c r="D37" s="7" t="n"/>
      <c r="E37" s="7" t="n"/>
      <c r="F37" s="7" t="n"/>
      <c r="G37" s="7" t="n"/>
      <c r="H37" s="7" t="n"/>
      <c r="I37" s="7" t="n"/>
      <c r="J37" s="7" t="n"/>
    </row>
    <row r="38" ht="60" customHeight="1">
      <c r="A38" s="7" t="inlineStr">
        <is>
          <t>F-37</t>
        </is>
      </c>
      <c r="B38" s="7" t="n"/>
      <c r="C38" s="7" t="n"/>
      <c r="D38" s="7" t="n"/>
      <c r="E38" s="7" t="n"/>
      <c r="F38" s="7" t="n"/>
      <c r="G38" s="7" t="n"/>
      <c r="H38" s="7" t="n"/>
      <c r="I38" s="7" t="n"/>
      <c r="J38" s="7" t="n"/>
    </row>
    <row r="39" ht="60" customHeight="1">
      <c r="A39" s="7" t="inlineStr">
        <is>
          <t>F-38</t>
        </is>
      </c>
      <c r="B39" s="7" t="n"/>
      <c r="C39" s="7" t="n"/>
      <c r="D39" s="7" t="n"/>
      <c r="E39" s="7" t="n"/>
      <c r="F39" s="7" t="n"/>
      <c r="G39" s="7" t="n"/>
      <c r="H39" s="7" t="n"/>
      <c r="I39" s="7" t="n"/>
      <c r="J39" s="7" t="n"/>
    </row>
    <row r="40" ht="60" customHeight="1">
      <c r="A40" s="7" t="inlineStr">
        <is>
          <t>F-39</t>
        </is>
      </c>
      <c r="B40" s="7" t="n"/>
      <c r="C40" s="7" t="n"/>
      <c r="D40" s="7" t="n"/>
      <c r="E40" s="7" t="n"/>
      <c r="F40" s="7" t="n"/>
      <c r="G40" s="7" t="n"/>
      <c r="H40" s="7" t="n"/>
      <c r="I40" s="7" t="n"/>
      <c r="J40" s="7" t="n"/>
    </row>
    <row r="41" ht="60" customHeight="1">
      <c r="A41" s="7" t="inlineStr">
        <is>
          <t>F-40</t>
        </is>
      </c>
      <c r="B41" s="7" t="n"/>
      <c r="C41" s="7" t="n"/>
      <c r="D41" s="7" t="n"/>
      <c r="E41" s="7" t="n"/>
      <c r="F41" s="7" t="n"/>
      <c r="G41" s="7" t="n"/>
      <c r="H41" s="7" t="n"/>
      <c r="I41" s="7" t="n"/>
      <c r="J41" s="7" t="n"/>
    </row>
    <row r="42" ht="60" customHeight="1">
      <c r="A42" s="7" t="inlineStr">
        <is>
          <t>F-41</t>
        </is>
      </c>
      <c r="B42" s="7" t="n"/>
      <c r="C42" s="7" t="n"/>
      <c r="D42" s="7" t="n"/>
      <c r="E42" s="7" t="n"/>
      <c r="F42" s="7" t="n"/>
      <c r="G42" s="7" t="n"/>
      <c r="H42" s="7" t="n"/>
      <c r="I42" s="7" t="n"/>
      <c r="J42" s="7" t="n"/>
    </row>
    <row r="43" ht="60" customHeight="1">
      <c r="A43" s="7" t="inlineStr">
        <is>
          <t>F-42</t>
        </is>
      </c>
      <c r="B43" s="7" t="n"/>
      <c r="C43" s="7" t="n"/>
      <c r="D43" s="7" t="n"/>
      <c r="E43" s="7" t="n"/>
      <c r="F43" s="7" t="n"/>
      <c r="G43" s="7" t="n"/>
      <c r="H43" s="7" t="n"/>
      <c r="I43" s="7" t="n"/>
      <c r="J43" s="7" t="n"/>
    </row>
    <row r="44" ht="60" customHeight="1">
      <c r="A44" s="7" t="inlineStr">
        <is>
          <t>F-43</t>
        </is>
      </c>
      <c r="B44" s="7" t="n"/>
      <c r="C44" s="7" t="n"/>
      <c r="D44" s="7" t="n"/>
      <c r="E44" s="7" t="n"/>
      <c r="F44" s="7" t="n"/>
      <c r="G44" s="7" t="n"/>
      <c r="H44" s="7" t="n"/>
      <c r="I44" s="7" t="n"/>
      <c r="J44" s="7" t="n"/>
    </row>
    <row r="45" ht="60" customHeight="1">
      <c r="A45" s="7" t="inlineStr">
        <is>
          <t>F-44</t>
        </is>
      </c>
      <c r="B45" s="7" t="n"/>
      <c r="C45" s="7" t="n"/>
      <c r="D45" s="7" t="n"/>
      <c r="E45" s="7" t="n"/>
      <c r="F45" s="7" t="n"/>
      <c r="G45" s="7" t="n"/>
      <c r="H45" s="7" t="n"/>
      <c r="I45" s="7" t="n"/>
      <c r="J45" s="7" t="n"/>
    </row>
    <row r="46" ht="60" customHeight="1">
      <c r="A46" s="7" t="inlineStr">
        <is>
          <t>F-45</t>
        </is>
      </c>
      <c r="B46" s="7" t="n"/>
      <c r="C46" s="7" t="n"/>
      <c r="D46" s="7" t="n"/>
      <c r="E46" s="7" t="n"/>
      <c r="F46" s="7" t="n"/>
      <c r="G46" s="7" t="n"/>
      <c r="H46" s="7" t="n"/>
      <c r="I46" s="7" t="n"/>
      <c r="J46" s="7" t="n"/>
    </row>
    <row r="47" ht="60" customHeight="1">
      <c r="A47" s="7" t="inlineStr">
        <is>
          <t>F-46</t>
        </is>
      </c>
      <c r="B47" s="7" t="n"/>
      <c r="C47" s="7" t="n"/>
      <c r="D47" s="7" t="n"/>
      <c r="E47" s="7" t="n"/>
      <c r="F47" s="7" t="n"/>
      <c r="G47" s="7" t="n"/>
      <c r="H47" s="7" t="n"/>
      <c r="I47" s="7" t="n"/>
      <c r="J47" s="7" t="n"/>
    </row>
    <row r="48" ht="60" customHeight="1">
      <c r="A48" s="7" t="inlineStr">
        <is>
          <t>F-47</t>
        </is>
      </c>
      <c r="B48" s="7" t="n"/>
      <c r="C48" s="7" t="n"/>
      <c r="D48" s="7" t="n"/>
      <c r="E48" s="7" t="n"/>
      <c r="F48" s="7" t="n"/>
      <c r="G48" s="7" t="n"/>
      <c r="H48" s="7" t="n"/>
      <c r="I48" s="7" t="n"/>
      <c r="J48" s="7" t="n"/>
    </row>
    <row r="49" ht="60" customHeight="1">
      <c r="A49" s="7" t="inlineStr">
        <is>
          <t>F-48</t>
        </is>
      </c>
      <c r="B49" s="7" t="n"/>
      <c r="C49" s="7" t="n"/>
      <c r="D49" s="7" t="n"/>
      <c r="E49" s="7" t="n"/>
      <c r="F49" s="7" t="n"/>
      <c r="G49" s="7" t="n"/>
      <c r="H49" s="7" t="n"/>
      <c r="I49" s="7" t="n"/>
      <c r="J49" s="7" t="n"/>
    </row>
    <row r="50" ht="60" customHeight="1">
      <c r="A50" s="7" t="inlineStr">
        <is>
          <t>F-49</t>
        </is>
      </c>
      <c r="B50" s="7" t="n"/>
      <c r="C50" s="7" t="n"/>
      <c r="D50" s="7" t="n"/>
      <c r="E50" s="7" t="n"/>
      <c r="F50" s="7" t="n"/>
      <c r="G50" s="7" t="n"/>
      <c r="H50" s="7" t="n"/>
      <c r="I50" s="7" t="n"/>
      <c r="J50" s="7" t="n"/>
    </row>
    <row r="51" ht="60" customHeight="1">
      <c r="A51" s="7" t="inlineStr">
        <is>
          <t>F-50</t>
        </is>
      </c>
      <c r="B51" s="7" t="n"/>
      <c r="C51" s="7" t="n"/>
      <c r="D51" s="7" t="n"/>
      <c r="E51" s="7" t="n"/>
      <c r="F51" s="7" t="n"/>
      <c r="G51" s="7" t="n"/>
      <c r="H51" s="7" t="n"/>
      <c r="I51" s="7" t="n"/>
      <c r="J51" s="7" t="n"/>
    </row>
    <row r="52" ht="60" customHeight="1">
      <c r="A52" s="7" t="inlineStr">
        <is>
          <t>F-51</t>
        </is>
      </c>
      <c r="B52" s="7" t="n"/>
      <c r="C52" s="7" t="n"/>
      <c r="D52" s="7" t="n"/>
      <c r="E52" s="7" t="n"/>
      <c r="F52" s="7" t="n"/>
      <c r="G52" s="7" t="n"/>
      <c r="H52" s="7" t="n"/>
      <c r="I52" s="7" t="n"/>
      <c r="J52" s="7" t="n"/>
    </row>
    <row r="53" ht="60" customHeight="1">
      <c r="A53" s="7" t="inlineStr">
        <is>
          <t>F-52</t>
        </is>
      </c>
      <c r="B53" s="7" t="n"/>
      <c r="C53" s="7" t="n"/>
      <c r="D53" s="7" t="n"/>
      <c r="E53" s="7" t="n"/>
      <c r="F53" s="7" t="n"/>
      <c r="G53" s="7" t="n"/>
      <c r="H53" s="7" t="n"/>
      <c r="I53" s="7" t="n"/>
      <c r="J53" s="7" t="n"/>
    </row>
    <row r="54" ht="60" customHeight="1">
      <c r="A54" s="7" t="inlineStr">
        <is>
          <t>F-53</t>
        </is>
      </c>
      <c r="B54" s="7" t="n"/>
      <c r="C54" s="7" t="n"/>
      <c r="D54" s="7" t="n"/>
      <c r="E54" s="7" t="n"/>
      <c r="F54" s="7" t="n"/>
      <c r="G54" s="7" t="n"/>
      <c r="H54" s="7" t="n"/>
      <c r="I54" s="7" t="n"/>
      <c r="J54" s="7" t="n"/>
    </row>
    <row r="55" ht="60" customHeight="1">
      <c r="A55" s="7" t="inlineStr">
        <is>
          <t>F-54</t>
        </is>
      </c>
      <c r="B55" s="7" t="n"/>
      <c r="C55" s="7" t="n"/>
      <c r="D55" s="7" t="n"/>
      <c r="E55" s="7" t="n"/>
      <c r="F55" s="7" t="n"/>
      <c r="G55" s="7" t="n"/>
      <c r="H55" s="7" t="n"/>
      <c r="I55" s="7" t="n"/>
      <c r="J55" s="7" t="n"/>
    </row>
    <row r="56" ht="60" customHeight="1">
      <c r="A56" s="7" t="inlineStr">
        <is>
          <t>F-55</t>
        </is>
      </c>
      <c r="B56" s="7" t="n"/>
      <c r="C56" s="7" t="n"/>
      <c r="D56" s="7" t="n"/>
      <c r="E56" s="7" t="n"/>
      <c r="F56" s="7" t="n"/>
      <c r="G56" s="7" t="n"/>
      <c r="H56" s="7" t="n"/>
      <c r="I56" s="7" t="n"/>
      <c r="J56" s="7" t="n"/>
    </row>
    <row r="57" ht="60" customHeight="1">
      <c r="A57" s="7" t="inlineStr">
        <is>
          <t>F-56</t>
        </is>
      </c>
      <c r="B57" s="7" t="n"/>
      <c r="C57" s="7" t="n"/>
      <c r="D57" s="7" t="n"/>
      <c r="E57" s="7" t="n"/>
      <c r="F57" s="7" t="n"/>
      <c r="G57" s="7" t="n"/>
      <c r="H57" s="7" t="n"/>
      <c r="I57" s="7" t="n"/>
      <c r="J57" s="7" t="n"/>
    </row>
    <row r="58" ht="60" customHeight="1">
      <c r="A58" s="7" t="inlineStr">
        <is>
          <t>F-57</t>
        </is>
      </c>
      <c r="B58" s="7" t="n"/>
      <c r="C58" s="7" t="n"/>
      <c r="D58" s="7" t="n"/>
      <c r="E58" s="7" t="n"/>
      <c r="F58" s="7" t="n"/>
      <c r="G58" s="7" t="n"/>
      <c r="H58" s="7" t="n"/>
      <c r="I58" s="7" t="n"/>
      <c r="J58" s="7" t="n"/>
    </row>
    <row r="59" ht="60" customHeight="1">
      <c r="A59" s="7" t="inlineStr">
        <is>
          <t>F-58</t>
        </is>
      </c>
      <c r="B59" s="7" t="n"/>
      <c r="C59" s="7" t="n"/>
      <c r="D59" s="7" t="n"/>
      <c r="E59" s="7" t="n"/>
      <c r="F59" s="7" t="n"/>
      <c r="G59" s="7" t="n"/>
      <c r="H59" s="7" t="n"/>
      <c r="I59" s="7" t="n"/>
      <c r="J59" s="7" t="n"/>
    </row>
    <row r="60" ht="60" customHeight="1">
      <c r="A60" s="7" t="inlineStr">
        <is>
          <t>F-59</t>
        </is>
      </c>
      <c r="B60" s="7" t="n"/>
      <c r="C60" s="7" t="n"/>
      <c r="D60" s="7" t="n"/>
      <c r="E60" s="7" t="n"/>
      <c r="F60" s="7" t="n"/>
      <c r="G60" s="7" t="n"/>
      <c r="H60" s="7" t="n"/>
      <c r="I60" s="7" t="n"/>
      <c r="J60" s="7" t="n"/>
    </row>
    <row r="61" ht="60" customHeight="1">
      <c r="A61" s="7" t="inlineStr">
        <is>
          <t>F-60</t>
        </is>
      </c>
      <c r="B61" s="7" t="n"/>
      <c r="C61" s="7" t="n"/>
      <c r="D61" s="7" t="n"/>
      <c r="E61" s="7" t="n"/>
      <c r="F61" s="7" t="n"/>
      <c r="G61" s="7" t="n"/>
      <c r="H61" s="7" t="n"/>
      <c r="I61" s="7" t="n"/>
      <c r="J61" s="7" t="n"/>
    </row>
    <row r="62" ht="60" customHeight="1">
      <c r="A62" s="7" t="inlineStr">
        <is>
          <t>F-61</t>
        </is>
      </c>
      <c r="B62" s="7" t="n"/>
      <c r="C62" s="7" t="n"/>
      <c r="D62" s="7" t="n"/>
      <c r="E62" s="7" t="n"/>
      <c r="F62" s="7" t="n"/>
      <c r="G62" s="7" t="n"/>
      <c r="H62" s="7" t="n"/>
      <c r="I62" s="7" t="n"/>
      <c r="J62" s="7" t="n"/>
    </row>
  </sheetData>
  <dataValidations count="3">
    <dataValidation sqref="B2:B62" showDropDown="0" showInputMessage="0" showErrorMessage="0" allowBlank="1" type="list">
      <formula1>"1,2,3A,3B,3C,ad-hoc"</formula1>
    </dataValidation>
    <dataValidation sqref="E2:E62" showDropDown="0" showInputMessage="0" showErrorMessage="0" allowBlank="1" type="list">
      <formula1>"critical,major,minor"</formula1>
    </dataValidation>
    <dataValidation sqref="I2:I62" showDropDown="0" showInputMessage="0" showErrorMessage="0" allowBlank="1" type="list">
      <formula1>"open,needs-review,resolved,wont-fix"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1"/>
  <sheetViews>
    <sheetView workbookViewId="0">
      <pane ySplit="11" topLeftCell="A12" activePane="bottomLeft" state="frozen"/>
      <selection pane="bottomLeft" activeCell="A1" sqref="A1"/>
    </sheetView>
  </sheetViews>
  <sheetFormatPr baseColWidth="8" defaultRowHeight="15"/>
  <cols>
    <col width="14" customWidth="1" min="1" max="1"/>
    <col width="12" customWidth="1" min="2" max="2"/>
    <col width="28" customWidth="1" min="3" max="3"/>
    <col width="12" customWidth="1" min="4" max="4"/>
    <col width="14" customWidth="1" min="5" max="5"/>
    <col width="11" customWidth="1" min="6" max="6"/>
    <col width="30" customWidth="1" min="7" max="7"/>
  </cols>
  <sheetData>
    <row r="1">
      <c r="A1" s="8" t="inlineStr">
        <is>
          <t>Phase 1 Kit BOM Piece-Count Validation</t>
        </is>
      </c>
    </row>
    <row r="2" ht="50" customHeight="1">
      <c r="A2" s="5" t="inlineStr">
        <is>
          <t>Three kits to validate. Two checks per kit: internal sum (does the SysML line items sum to claimed total?) and external comparison (do the line items match the published BrickLink or Brickset inventory?). Add one row per part. Use the 'Kit' column to filter.</t>
        </is>
      </c>
    </row>
    <row r="4">
      <c r="A4" s="2" t="inlineStr">
        <is>
          <t>Summary</t>
        </is>
      </c>
    </row>
    <row r="5" ht="30" customHeight="1">
      <c r="A5" s="6" t="inlineStr">
        <is>
          <t>Kit</t>
        </is>
      </c>
      <c r="B5" s="6" t="inlineStr">
        <is>
          <t>Set name</t>
        </is>
      </c>
      <c r="C5" s="6" t="inlineStr">
        <is>
          <t>Claimed total (SysML)</t>
        </is>
      </c>
      <c r="D5" s="6" t="inlineStr">
        <is>
          <t>Sum of SysML lines (formula)</t>
        </is>
      </c>
      <c r="E5" s="6" t="inlineStr">
        <is>
          <t>Sum of published (formula)</t>
        </is>
      </c>
      <c r="F5" s="6" t="inlineStr">
        <is>
          <t>Internal match?</t>
        </is>
      </c>
      <c r="G5" s="6" t="inlineStr">
        <is>
          <t>External match?</t>
        </is>
      </c>
    </row>
    <row r="6">
      <c r="A6" s="7" t="inlineStr">
        <is>
          <t>31313</t>
        </is>
      </c>
      <c r="B6" s="7" t="inlineStr">
        <is>
          <t>Home Edition</t>
        </is>
      </c>
      <c r="C6" s="7" t="n">
        <v>601</v>
      </c>
      <c r="D6" s="7">
        <f>SUMIF(BOM_Kit,"31313",BOM_SysML_Qty)</f>
        <v/>
      </c>
      <c r="E6" s="7">
        <f>SUMIF(BOM_Kit,"31313",BOM_Pub_Qty)</f>
        <v/>
      </c>
      <c r="F6" s="7">
        <f>IF(C6=D6,"yes","no")</f>
        <v/>
      </c>
      <c r="G6" s="7">
        <f>IF(D6=E6,"yes","no")</f>
        <v/>
      </c>
    </row>
    <row r="7">
      <c r="A7" s="7" t="inlineStr">
        <is>
          <t>45544</t>
        </is>
      </c>
      <c r="B7" s="7" t="inlineStr">
        <is>
          <t>Education Core</t>
        </is>
      </c>
      <c r="C7" s="7" t="n">
        <v>541</v>
      </c>
      <c r="D7" s="7">
        <f>SUMIF(BOM_Kit,"45544",BOM_SysML_Qty)</f>
        <v/>
      </c>
      <c r="E7" s="7">
        <f>SUMIF(BOM_Kit,"45544",BOM_Pub_Qty)</f>
        <v/>
      </c>
      <c r="F7" s="7">
        <f>IF(C7=D7,"yes","no")</f>
        <v/>
      </c>
      <c r="G7" s="7">
        <f>IF(D7=E7,"yes","no")</f>
        <v/>
      </c>
    </row>
    <row r="8">
      <c r="A8" s="7" t="inlineStr">
        <is>
          <t>45560</t>
        </is>
      </c>
      <c r="B8" s="7" t="inlineStr">
        <is>
          <t>Expansion</t>
        </is>
      </c>
      <c r="C8" s="7" t="n">
        <v>853</v>
      </c>
      <c r="D8" s="7">
        <f>SUMIF(BOM_Kit,"45560",BOM_SysML_Qty)</f>
        <v/>
      </c>
      <c r="E8" s="7">
        <f>SUMIF(BOM_Kit,"45560",BOM_Pub_Qty)</f>
        <v/>
      </c>
      <c r="F8" s="7">
        <f>IF(C8=D8,"yes","no")</f>
        <v/>
      </c>
      <c r="G8" s="7">
        <f>IF(D8=E8,"yes","no")</f>
        <v/>
      </c>
    </row>
    <row r="10">
      <c r="A10" s="2" t="inlineStr">
        <is>
          <t>Line-item table</t>
        </is>
      </c>
    </row>
    <row r="11" ht="30" customHeight="1">
      <c r="A11" s="6" t="inlineStr">
        <is>
          <t>Kit</t>
        </is>
      </c>
      <c r="B11" s="6" t="inlineStr">
        <is>
          <t>LDraw ID</t>
        </is>
      </c>
      <c r="C11" s="6" t="inlineStr">
        <is>
          <t>Part Name</t>
        </is>
      </c>
      <c r="D11" s="6" t="inlineStr">
        <is>
          <t>SysML Qty</t>
        </is>
      </c>
      <c r="E11" s="6" t="inlineStr">
        <is>
          <t>Published Qty</t>
        </is>
      </c>
      <c r="F11" s="6" t="inlineStr">
        <is>
          <t>Match?</t>
        </is>
      </c>
      <c r="G11" s="6" t="inlineStr">
        <is>
          <t>Notes</t>
        </is>
      </c>
    </row>
    <row r="12">
      <c r="A12" s="7" t="n"/>
      <c r="B12" s="7" t="n"/>
      <c r="C12" s="7" t="n"/>
      <c r="D12" s="7" t="n"/>
      <c r="E12" s="7" t="n"/>
      <c r="F12" s="7">
        <f>IF(AND(ISNUMBER(D12),ISNUMBER(E12)),IF(D12=E12,"yes","no"),"")</f>
        <v/>
      </c>
      <c r="G12" s="7" t="n"/>
    </row>
    <row r="13">
      <c r="A13" s="7" t="n"/>
      <c r="B13" s="7" t="n"/>
      <c r="C13" s="7" t="n"/>
      <c r="D13" s="7" t="n"/>
      <c r="E13" s="7" t="n"/>
      <c r="F13" s="7">
        <f>IF(AND(ISNUMBER(D13),ISNUMBER(E13)),IF(D13=E13,"yes","no"),"")</f>
        <v/>
      </c>
      <c r="G13" s="7" t="n"/>
    </row>
    <row r="14">
      <c r="A14" s="7" t="n"/>
      <c r="B14" s="7" t="n"/>
      <c r="C14" s="7" t="n"/>
      <c r="D14" s="7" t="n"/>
      <c r="E14" s="7" t="n"/>
      <c r="F14" s="7">
        <f>IF(AND(ISNUMBER(D14),ISNUMBER(E14)),IF(D14=E14,"yes","no"),"")</f>
        <v/>
      </c>
      <c r="G14" s="7" t="n"/>
    </row>
    <row r="15">
      <c r="A15" s="7" t="n"/>
      <c r="B15" s="7" t="n"/>
      <c r="C15" s="7" t="n"/>
      <c r="D15" s="7" t="n"/>
      <c r="E15" s="7" t="n"/>
      <c r="F15" s="7">
        <f>IF(AND(ISNUMBER(D15),ISNUMBER(E15)),IF(D15=E15,"yes","no"),"")</f>
        <v/>
      </c>
      <c r="G15" s="7" t="n"/>
    </row>
    <row r="16">
      <c r="A16" s="7" t="n"/>
      <c r="B16" s="7" t="n"/>
      <c r="C16" s="7" t="n"/>
      <c r="D16" s="7" t="n"/>
      <c r="E16" s="7" t="n"/>
      <c r="F16" s="7">
        <f>IF(AND(ISNUMBER(D16),ISNUMBER(E16)),IF(D16=E16,"yes","no"),"")</f>
        <v/>
      </c>
      <c r="G16" s="7" t="n"/>
    </row>
    <row r="17">
      <c r="A17" s="7" t="n"/>
      <c r="B17" s="7" t="n"/>
      <c r="C17" s="7" t="n"/>
      <c r="D17" s="7" t="n"/>
      <c r="E17" s="7" t="n"/>
      <c r="F17" s="7">
        <f>IF(AND(ISNUMBER(D17),ISNUMBER(E17)),IF(D17=E17,"yes","no"),"")</f>
        <v/>
      </c>
      <c r="G17" s="7" t="n"/>
    </row>
    <row r="18">
      <c r="A18" s="7" t="n"/>
      <c r="B18" s="7" t="n"/>
      <c r="C18" s="7" t="n"/>
      <c r="D18" s="7" t="n"/>
      <c r="E18" s="7" t="n"/>
      <c r="F18" s="7">
        <f>IF(AND(ISNUMBER(D18),ISNUMBER(E18)),IF(D18=E18,"yes","no"),"")</f>
        <v/>
      </c>
      <c r="G18" s="7" t="n"/>
    </row>
    <row r="19">
      <c r="A19" s="7" t="n"/>
      <c r="B19" s="7" t="n"/>
      <c r="C19" s="7" t="n"/>
      <c r="D19" s="7" t="n"/>
      <c r="E19" s="7" t="n"/>
      <c r="F19" s="7">
        <f>IF(AND(ISNUMBER(D19),ISNUMBER(E19)),IF(D19=E19,"yes","no"),"")</f>
        <v/>
      </c>
      <c r="G19" s="7" t="n"/>
    </row>
    <row r="20">
      <c r="A20" s="7" t="n"/>
      <c r="B20" s="7" t="n"/>
      <c r="C20" s="7" t="n"/>
      <c r="D20" s="7" t="n"/>
      <c r="E20" s="7" t="n"/>
      <c r="F20" s="7">
        <f>IF(AND(ISNUMBER(D20),ISNUMBER(E20)),IF(D20=E20,"yes","no"),"")</f>
        <v/>
      </c>
      <c r="G20" s="7" t="n"/>
    </row>
    <row r="21">
      <c r="A21" s="7" t="n"/>
      <c r="B21" s="7" t="n"/>
      <c r="C21" s="7" t="n"/>
      <c r="D21" s="7" t="n"/>
      <c r="E21" s="7" t="n"/>
      <c r="F21" s="7">
        <f>IF(AND(ISNUMBER(D21),ISNUMBER(E21)),IF(D21=E21,"yes","no"),"")</f>
        <v/>
      </c>
      <c r="G21" s="7" t="n"/>
    </row>
    <row r="22">
      <c r="A22" s="7" t="n"/>
      <c r="B22" s="7" t="n"/>
      <c r="C22" s="7" t="n"/>
      <c r="D22" s="7" t="n"/>
      <c r="E22" s="7" t="n"/>
      <c r="F22" s="7">
        <f>IF(AND(ISNUMBER(D22),ISNUMBER(E22)),IF(D22=E22,"yes","no"),"")</f>
        <v/>
      </c>
      <c r="G22" s="7" t="n"/>
    </row>
    <row r="23">
      <c r="A23" s="7" t="n"/>
      <c r="B23" s="7" t="n"/>
      <c r="C23" s="7" t="n"/>
      <c r="D23" s="7" t="n"/>
      <c r="E23" s="7" t="n"/>
      <c r="F23" s="7">
        <f>IF(AND(ISNUMBER(D23),ISNUMBER(E23)),IF(D23=E23,"yes","no"),"")</f>
        <v/>
      </c>
      <c r="G23" s="7" t="n"/>
    </row>
    <row r="24">
      <c r="A24" s="7" t="n"/>
      <c r="B24" s="7" t="n"/>
      <c r="C24" s="7" t="n"/>
      <c r="D24" s="7" t="n"/>
      <c r="E24" s="7" t="n"/>
      <c r="F24" s="7">
        <f>IF(AND(ISNUMBER(D24),ISNUMBER(E24)),IF(D24=E24,"yes","no"),"")</f>
        <v/>
      </c>
      <c r="G24" s="7" t="n"/>
    </row>
    <row r="25">
      <c r="A25" s="7" t="n"/>
      <c r="B25" s="7" t="n"/>
      <c r="C25" s="7" t="n"/>
      <c r="D25" s="7" t="n"/>
      <c r="E25" s="7" t="n"/>
      <c r="F25" s="7">
        <f>IF(AND(ISNUMBER(D25),ISNUMBER(E25)),IF(D25=E25,"yes","no"),"")</f>
        <v/>
      </c>
      <c r="G25" s="7" t="n"/>
    </row>
    <row r="26">
      <c r="A26" s="7" t="n"/>
      <c r="B26" s="7" t="n"/>
      <c r="C26" s="7" t="n"/>
      <c r="D26" s="7" t="n"/>
      <c r="E26" s="7" t="n"/>
      <c r="F26" s="7">
        <f>IF(AND(ISNUMBER(D26),ISNUMBER(E26)),IF(D26=E26,"yes","no"),"")</f>
        <v/>
      </c>
      <c r="G26" s="7" t="n"/>
    </row>
    <row r="27">
      <c r="A27" s="7" t="n"/>
      <c r="B27" s="7" t="n"/>
      <c r="C27" s="7" t="n"/>
      <c r="D27" s="7" t="n"/>
      <c r="E27" s="7" t="n"/>
      <c r="F27" s="7">
        <f>IF(AND(ISNUMBER(D27),ISNUMBER(E27)),IF(D27=E27,"yes","no"),"")</f>
        <v/>
      </c>
      <c r="G27" s="7" t="n"/>
    </row>
    <row r="28">
      <c r="A28" s="7" t="n"/>
      <c r="B28" s="7" t="n"/>
      <c r="C28" s="7" t="n"/>
      <c r="D28" s="7" t="n"/>
      <c r="E28" s="7" t="n"/>
      <c r="F28" s="7">
        <f>IF(AND(ISNUMBER(D28),ISNUMBER(E28)),IF(D28=E28,"yes","no"),"")</f>
        <v/>
      </c>
      <c r="G28" s="7" t="n"/>
    </row>
    <row r="29">
      <c r="A29" s="7" t="n"/>
      <c r="B29" s="7" t="n"/>
      <c r="C29" s="7" t="n"/>
      <c r="D29" s="7" t="n"/>
      <c r="E29" s="7" t="n"/>
      <c r="F29" s="7">
        <f>IF(AND(ISNUMBER(D29),ISNUMBER(E29)),IF(D29=E29,"yes","no"),"")</f>
        <v/>
      </c>
      <c r="G29" s="7" t="n"/>
    </row>
    <row r="30">
      <c r="A30" s="7" t="n"/>
      <c r="B30" s="7" t="n"/>
      <c r="C30" s="7" t="n"/>
      <c r="D30" s="7" t="n"/>
      <c r="E30" s="7" t="n"/>
      <c r="F30" s="7">
        <f>IF(AND(ISNUMBER(D30),ISNUMBER(E30)),IF(D30=E30,"yes","no"),"")</f>
        <v/>
      </c>
      <c r="G30" s="7" t="n"/>
    </row>
    <row r="31">
      <c r="A31" s="7" t="n"/>
      <c r="B31" s="7" t="n"/>
      <c r="C31" s="7" t="n"/>
      <c r="D31" s="7" t="n"/>
      <c r="E31" s="7" t="n"/>
      <c r="F31" s="7">
        <f>IF(AND(ISNUMBER(D31),ISNUMBER(E31)),IF(D31=E31,"yes","no"),"")</f>
        <v/>
      </c>
      <c r="G31" s="7" t="n"/>
    </row>
    <row r="32">
      <c r="A32" s="7" t="n"/>
      <c r="B32" s="7" t="n"/>
      <c r="C32" s="7" t="n"/>
      <c r="D32" s="7" t="n"/>
      <c r="E32" s="7" t="n"/>
      <c r="F32" s="7">
        <f>IF(AND(ISNUMBER(D32),ISNUMBER(E32)),IF(D32=E32,"yes","no"),"")</f>
        <v/>
      </c>
      <c r="G32" s="7" t="n"/>
    </row>
    <row r="33">
      <c r="A33" s="7" t="n"/>
      <c r="B33" s="7" t="n"/>
      <c r="C33" s="7" t="n"/>
      <c r="D33" s="7" t="n"/>
      <c r="E33" s="7" t="n"/>
      <c r="F33" s="7">
        <f>IF(AND(ISNUMBER(D33),ISNUMBER(E33)),IF(D33=E33,"yes","no"),"")</f>
        <v/>
      </c>
      <c r="G33" s="7" t="n"/>
    </row>
    <row r="34">
      <c r="A34" s="7" t="n"/>
      <c r="B34" s="7" t="n"/>
      <c r="C34" s="7" t="n"/>
      <c r="D34" s="7" t="n"/>
      <c r="E34" s="7" t="n"/>
      <c r="F34" s="7">
        <f>IF(AND(ISNUMBER(D34),ISNUMBER(E34)),IF(D34=E34,"yes","no"),"")</f>
        <v/>
      </c>
      <c r="G34" s="7" t="n"/>
    </row>
    <row r="35">
      <c r="A35" s="7" t="n"/>
      <c r="B35" s="7" t="n"/>
      <c r="C35" s="7" t="n"/>
      <c r="D35" s="7" t="n"/>
      <c r="E35" s="7" t="n"/>
      <c r="F35" s="7">
        <f>IF(AND(ISNUMBER(D35),ISNUMBER(E35)),IF(D35=E35,"yes","no"),"")</f>
        <v/>
      </c>
      <c r="G35" s="7" t="n"/>
    </row>
    <row r="36">
      <c r="A36" s="7" t="n"/>
      <c r="B36" s="7" t="n"/>
      <c r="C36" s="7" t="n"/>
      <c r="D36" s="7" t="n"/>
      <c r="E36" s="7" t="n"/>
      <c r="F36" s="7">
        <f>IF(AND(ISNUMBER(D36),ISNUMBER(E36)),IF(D36=E36,"yes","no"),"")</f>
        <v/>
      </c>
      <c r="G36" s="7" t="n"/>
    </row>
    <row r="37">
      <c r="A37" s="7" t="n"/>
      <c r="B37" s="7" t="n"/>
      <c r="C37" s="7" t="n"/>
      <c r="D37" s="7" t="n"/>
      <c r="E37" s="7" t="n"/>
      <c r="F37" s="7">
        <f>IF(AND(ISNUMBER(D37),ISNUMBER(E37)),IF(D37=E37,"yes","no"),"")</f>
        <v/>
      </c>
      <c r="G37" s="7" t="n"/>
    </row>
    <row r="38">
      <c r="A38" s="7" t="n"/>
      <c r="B38" s="7" t="n"/>
      <c r="C38" s="7" t="n"/>
      <c r="D38" s="7" t="n"/>
      <c r="E38" s="7" t="n"/>
      <c r="F38" s="7">
        <f>IF(AND(ISNUMBER(D38),ISNUMBER(E38)),IF(D38=E38,"yes","no"),"")</f>
        <v/>
      </c>
      <c r="G38" s="7" t="n"/>
    </row>
    <row r="39">
      <c r="A39" s="7" t="n"/>
      <c r="B39" s="7" t="n"/>
      <c r="C39" s="7" t="n"/>
      <c r="D39" s="7" t="n"/>
      <c r="E39" s="7" t="n"/>
      <c r="F39" s="7">
        <f>IF(AND(ISNUMBER(D39),ISNUMBER(E39)),IF(D39=E39,"yes","no"),"")</f>
        <v/>
      </c>
      <c r="G39" s="7" t="n"/>
    </row>
    <row r="40">
      <c r="A40" s="7" t="n"/>
      <c r="B40" s="7" t="n"/>
      <c r="C40" s="7" t="n"/>
      <c r="D40" s="7" t="n"/>
      <c r="E40" s="7" t="n"/>
      <c r="F40" s="7">
        <f>IF(AND(ISNUMBER(D40),ISNUMBER(E40)),IF(D40=E40,"yes","no"),"")</f>
        <v/>
      </c>
      <c r="G40" s="7" t="n"/>
    </row>
    <row r="41">
      <c r="A41" s="7" t="n"/>
      <c r="B41" s="7" t="n"/>
      <c r="C41" s="7" t="n"/>
      <c r="D41" s="7" t="n"/>
      <c r="E41" s="7" t="n"/>
      <c r="F41" s="7">
        <f>IF(AND(ISNUMBER(D41),ISNUMBER(E41)),IF(D41=E41,"yes","no"),"")</f>
        <v/>
      </c>
      <c r="G41" s="7" t="n"/>
    </row>
    <row r="42">
      <c r="A42" s="7" t="n"/>
      <c r="B42" s="7" t="n"/>
      <c r="C42" s="7" t="n"/>
      <c r="D42" s="7" t="n"/>
      <c r="E42" s="7" t="n"/>
      <c r="F42" s="7">
        <f>IF(AND(ISNUMBER(D42),ISNUMBER(E42)),IF(D42=E42,"yes","no"),"")</f>
        <v/>
      </c>
      <c r="G42" s="7" t="n"/>
    </row>
    <row r="43">
      <c r="A43" s="7" t="n"/>
      <c r="B43" s="7" t="n"/>
      <c r="C43" s="7" t="n"/>
      <c r="D43" s="7" t="n"/>
      <c r="E43" s="7" t="n"/>
      <c r="F43" s="7">
        <f>IF(AND(ISNUMBER(D43),ISNUMBER(E43)),IF(D43=E43,"yes","no"),"")</f>
        <v/>
      </c>
      <c r="G43" s="7" t="n"/>
    </row>
    <row r="44">
      <c r="A44" s="7" t="n"/>
      <c r="B44" s="7" t="n"/>
      <c r="C44" s="7" t="n"/>
      <c r="D44" s="7" t="n"/>
      <c r="E44" s="7" t="n"/>
      <c r="F44" s="7">
        <f>IF(AND(ISNUMBER(D44),ISNUMBER(E44)),IF(D44=E44,"yes","no"),"")</f>
        <v/>
      </c>
      <c r="G44" s="7" t="n"/>
    </row>
    <row r="45">
      <c r="A45" s="7" t="n"/>
      <c r="B45" s="7" t="n"/>
      <c r="C45" s="7" t="n"/>
      <c r="D45" s="7" t="n"/>
      <c r="E45" s="7" t="n"/>
      <c r="F45" s="7">
        <f>IF(AND(ISNUMBER(D45),ISNUMBER(E45)),IF(D45=E45,"yes","no"),"")</f>
        <v/>
      </c>
      <c r="G45" s="7" t="n"/>
    </row>
    <row r="46">
      <c r="A46" s="7" t="n"/>
      <c r="B46" s="7" t="n"/>
      <c r="C46" s="7" t="n"/>
      <c r="D46" s="7" t="n"/>
      <c r="E46" s="7" t="n"/>
      <c r="F46" s="7">
        <f>IF(AND(ISNUMBER(D46),ISNUMBER(E46)),IF(D46=E46,"yes","no"),"")</f>
        <v/>
      </c>
      <c r="G46" s="7" t="n"/>
    </row>
    <row r="47">
      <c r="A47" s="7" t="n"/>
      <c r="B47" s="7" t="n"/>
      <c r="C47" s="7" t="n"/>
      <c r="D47" s="7" t="n"/>
      <c r="E47" s="7" t="n"/>
      <c r="F47" s="7">
        <f>IF(AND(ISNUMBER(D47),ISNUMBER(E47)),IF(D47=E47,"yes","no"),"")</f>
        <v/>
      </c>
      <c r="G47" s="7" t="n"/>
    </row>
    <row r="48">
      <c r="A48" s="7" t="n"/>
      <c r="B48" s="7" t="n"/>
      <c r="C48" s="7" t="n"/>
      <c r="D48" s="7" t="n"/>
      <c r="E48" s="7" t="n"/>
      <c r="F48" s="7">
        <f>IF(AND(ISNUMBER(D48),ISNUMBER(E48)),IF(D48=E48,"yes","no"),"")</f>
        <v/>
      </c>
      <c r="G48" s="7" t="n"/>
    </row>
    <row r="49">
      <c r="A49" s="7" t="n"/>
      <c r="B49" s="7" t="n"/>
      <c r="C49" s="7" t="n"/>
      <c r="D49" s="7" t="n"/>
      <c r="E49" s="7" t="n"/>
      <c r="F49" s="7">
        <f>IF(AND(ISNUMBER(D49),ISNUMBER(E49)),IF(D49=E49,"yes","no"),"")</f>
        <v/>
      </c>
      <c r="G49" s="7" t="n"/>
    </row>
    <row r="50">
      <c r="A50" s="7" t="n"/>
      <c r="B50" s="7" t="n"/>
      <c r="C50" s="7" t="n"/>
      <c r="D50" s="7" t="n"/>
      <c r="E50" s="7" t="n"/>
      <c r="F50" s="7">
        <f>IF(AND(ISNUMBER(D50),ISNUMBER(E50)),IF(D50=E50,"yes","no"),"")</f>
        <v/>
      </c>
      <c r="G50" s="7" t="n"/>
    </row>
    <row r="51">
      <c r="A51" s="7" t="n"/>
      <c r="B51" s="7" t="n"/>
      <c r="C51" s="7" t="n"/>
      <c r="D51" s="7" t="n"/>
      <c r="E51" s="7" t="n"/>
      <c r="F51" s="7">
        <f>IF(AND(ISNUMBER(D51),ISNUMBER(E51)),IF(D51=E51,"yes","no"),"")</f>
        <v/>
      </c>
      <c r="G51" s="7" t="n"/>
    </row>
    <row r="52">
      <c r="A52" s="7" t="n"/>
      <c r="B52" s="7" t="n"/>
      <c r="C52" s="7" t="n"/>
      <c r="D52" s="7" t="n"/>
      <c r="E52" s="7" t="n"/>
      <c r="F52" s="7">
        <f>IF(AND(ISNUMBER(D52),ISNUMBER(E52)),IF(D52=E52,"yes","no"),"")</f>
        <v/>
      </c>
      <c r="G52" s="7" t="n"/>
    </row>
    <row r="53">
      <c r="A53" s="7" t="n"/>
      <c r="B53" s="7" t="n"/>
      <c r="C53" s="7" t="n"/>
      <c r="D53" s="7" t="n"/>
      <c r="E53" s="7" t="n"/>
      <c r="F53" s="7">
        <f>IF(AND(ISNUMBER(D53),ISNUMBER(E53)),IF(D53=E53,"yes","no"),"")</f>
        <v/>
      </c>
      <c r="G53" s="7" t="n"/>
    </row>
    <row r="54">
      <c r="A54" s="7" t="n"/>
      <c r="B54" s="7" t="n"/>
      <c r="C54" s="7" t="n"/>
      <c r="D54" s="7" t="n"/>
      <c r="E54" s="7" t="n"/>
      <c r="F54" s="7">
        <f>IF(AND(ISNUMBER(D54),ISNUMBER(E54)),IF(D54=E54,"yes","no"),"")</f>
        <v/>
      </c>
      <c r="G54" s="7" t="n"/>
    </row>
    <row r="55">
      <c r="A55" s="7" t="n"/>
      <c r="B55" s="7" t="n"/>
      <c r="C55" s="7" t="n"/>
      <c r="D55" s="7" t="n"/>
      <c r="E55" s="7" t="n"/>
      <c r="F55" s="7">
        <f>IF(AND(ISNUMBER(D55),ISNUMBER(E55)),IF(D55=E55,"yes","no"),"")</f>
        <v/>
      </c>
      <c r="G55" s="7" t="n"/>
    </row>
    <row r="56">
      <c r="A56" s="7" t="n"/>
      <c r="B56" s="7" t="n"/>
      <c r="C56" s="7" t="n"/>
      <c r="D56" s="7" t="n"/>
      <c r="E56" s="7" t="n"/>
      <c r="F56" s="7">
        <f>IF(AND(ISNUMBER(D56),ISNUMBER(E56)),IF(D56=E56,"yes","no"),"")</f>
        <v/>
      </c>
      <c r="G56" s="7" t="n"/>
    </row>
    <row r="57">
      <c r="A57" s="7" t="n"/>
      <c r="B57" s="7" t="n"/>
      <c r="C57" s="7" t="n"/>
      <c r="D57" s="7" t="n"/>
      <c r="E57" s="7" t="n"/>
      <c r="F57" s="7">
        <f>IF(AND(ISNUMBER(D57),ISNUMBER(E57)),IF(D57=E57,"yes","no"),"")</f>
        <v/>
      </c>
      <c r="G57" s="7" t="n"/>
    </row>
    <row r="58">
      <c r="A58" s="7" t="n"/>
      <c r="B58" s="7" t="n"/>
      <c r="C58" s="7" t="n"/>
      <c r="D58" s="7" t="n"/>
      <c r="E58" s="7" t="n"/>
      <c r="F58" s="7">
        <f>IF(AND(ISNUMBER(D58),ISNUMBER(E58)),IF(D58=E58,"yes","no"),"")</f>
        <v/>
      </c>
      <c r="G58" s="7" t="n"/>
    </row>
    <row r="59">
      <c r="A59" s="7" t="n"/>
      <c r="B59" s="7" t="n"/>
      <c r="C59" s="7" t="n"/>
      <c r="D59" s="7" t="n"/>
      <c r="E59" s="7" t="n"/>
      <c r="F59" s="7">
        <f>IF(AND(ISNUMBER(D59),ISNUMBER(E59)),IF(D59=E59,"yes","no"),"")</f>
        <v/>
      </c>
      <c r="G59" s="7" t="n"/>
    </row>
    <row r="60">
      <c r="A60" s="7" t="n"/>
      <c r="B60" s="7" t="n"/>
      <c r="C60" s="7" t="n"/>
      <c r="D60" s="7" t="n"/>
      <c r="E60" s="7" t="n"/>
      <c r="F60" s="7">
        <f>IF(AND(ISNUMBER(D60),ISNUMBER(E60)),IF(D60=E60,"yes","no"),"")</f>
        <v/>
      </c>
      <c r="G60" s="7" t="n"/>
    </row>
    <row r="61">
      <c r="A61" s="7" t="n"/>
      <c r="B61" s="7" t="n"/>
      <c r="C61" s="7" t="n"/>
      <c r="D61" s="7" t="n"/>
      <c r="E61" s="7" t="n"/>
      <c r="F61" s="7">
        <f>IF(AND(ISNUMBER(D61),ISNUMBER(E61)),IF(D61=E61,"yes","no"),"")</f>
        <v/>
      </c>
      <c r="G61" s="7" t="n"/>
    </row>
    <row r="62">
      <c r="A62" s="7" t="n"/>
      <c r="B62" s="7" t="n"/>
      <c r="C62" s="7" t="n"/>
      <c r="D62" s="7" t="n"/>
      <c r="E62" s="7" t="n"/>
      <c r="F62" s="7">
        <f>IF(AND(ISNUMBER(D62),ISNUMBER(E62)),IF(D62=E62,"yes","no"),"")</f>
        <v/>
      </c>
      <c r="G62" s="7" t="n"/>
    </row>
    <row r="63">
      <c r="A63" s="7" t="n"/>
      <c r="B63" s="7" t="n"/>
      <c r="C63" s="7" t="n"/>
      <c r="D63" s="7" t="n"/>
      <c r="E63" s="7" t="n"/>
      <c r="F63" s="7">
        <f>IF(AND(ISNUMBER(D63),ISNUMBER(E63)),IF(D63=E63,"yes","no"),"")</f>
        <v/>
      </c>
      <c r="G63" s="7" t="n"/>
    </row>
    <row r="64">
      <c r="A64" s="7" t="n"/>
      <c r="B64" s="7" t="n"/>
      <c r="C64" s="7" t="n"/>
      <c r="D64" s="7" t="n"/>
      <c r="E64" s="7" t="n"/>
      <c r="F64" s="7">
        <f>IF(AND(ISNUMBER(D64),ISNUMBER(E64)),IF(D64=E64,"yes","no"),"")</f>
        <v/>
      </c>
      <c r="G64" s="7" t="n"/>
    </row>
    <row r="65">
      <c r="A65" s="7" t="n"/>
      <c r="B65" s="7" t="n"/>
      <c r="C65" s="7" t="n"/>
      <c r="D65" s="7" t="n"/>
      <c r="E65" s="7" t="n"/>
      <c r="F65" s="7">
        <f>IF(AND(ISNUMBER(D65),ISNUMBER(E65)),IF(D65=E65,"yes","no"),"")</f>
        <v/>
      </c>
      <c r="G65" s="7" t="n"/>
    </row>
    <row r="66">
      <c r="A66" s="7" t="n"/>
      <c r="B66" s="7" t="n"/>
      <c r="C66" s="7" t="n"/>
      <c r="D66" s="7" t="n"/>
      <c r="E66" s="7" t="n"/>
      <c r="F66" s="7">
        <f>IF(AND(ISNUMBER(D66),ISNUMBER(E66)),IF(D66=E66,"yes","no"),"")</f>
        <v/>
      </c>
      <c r="G66" s="7" t="n"/>
    </row>
    <row r="67">
      <c r="A67" s="7" t="n"/>
      <c r="B67" s="7" t="n"/>
      <c r="C67" s="7" t="n"/>
      <c r="D67" s="7" t="n"/>
      <c r="E67" s="7" t="n"/>
      <c r="F67" s="7">
        <f>IF(AND(ISNUMBER(D67),ISNUMBER(E67)),IF(D67=E67,"yes","no"),"")</f>
        <v/>
      </c>
      <c r="G67" s="7" t="n"/>
    </row>
    <row r="68">
      <c r="A68" s="7" t="n"/>
      <c r="B68" s="7" t="n"/>
      <c r="C68" s="7" t="n"/>
      <c r="D68" s="7" t="n"/>
      <c r="E68" s="7" t="n"/>
      <c r="F68" s="7">
        <f>IF(AND(ISNUMBER(D68),ISNUMBER(E68)),IF(D68=E68,"yes","no"),"")</f>
        <v/>
      </c>
      <c r="G68" s="7" t="n"/>
    </row>
    <row r="69">
      <c r="A69" s="7" t="n"/>
      <c r="B69" s="7" t="n"/>
      <c r="C69" s="7" t="n"/>
      <c r="D69" s="7" t="n"/>
      <c r="E69" s="7" t="n"/>
      <c r="F69" s="7">
        <f>IF(AND(ISNUMBER(D69),ISNUMBER(E69)),IF(D69=E69,"yes","no"),"")</f>
        <v/>
      </c>
      <c r="G69" s="7" t="n"/>
    </row>
    <row r="70">
      <c r="A70" s="7" t="n"/>
      <c r="B70" s="7" t="n"/>
      <c r="C70" s="7" t="n"/>
      <c r="D70" s="7" t="n"/>
      <c r="E70" s="7" t="n"/>
      <c r="F70" s="7">
        <f>IF(AND(ISNUMBER(D70),ISNUMBER(E70)),IF(D70=E70,"yes","no"),"")</f>
        <v/>
      </c>
      <c r="G70" s="7" t="n"/>
    </row>
    <row r="71">
      <c r="A71" s="7" t="n"/>
      <c r="B71" s="7" t="n"/>
      <c r="C71" s="7" t="n"/>
      <c r="D71" s="7" t="n"/>
      <c r="E71" s="7" t="n"/>
      <c r="F71" s="7">
        <f>IF(AND(ISNUMBER(D71),ISNUMBER(E71)),IF(D71=E71,"yes","no"),"")</f>
        <v/>
      </c>
      <c r="G71" s="7" t="n"/>
    </row>
    <row r="72">
      <c r="A72" s="7" t="n"/>
      <c r="B72" s="7" t="n"/>
      <c r="C72" s="7" t="n"/>
      <c r="D72" s="7" t="n"/>
      <c r="E72" s="7" t="n"/>
      <c r="F72" s="7">
        <f>IF(AND(ISNUMBER(D72),ISNUMBER(E72)),IF(D72=E72,"yes","no"),"")</f>
        <v/>
      </c>
      <c r="G72" s="7" t="n"/>
    </row>
    <row r="73">
      <c r="A73" s="7" t="n"/>
      <c r="B73" s="7" t="n"/>
      <c r="C73" s="7" t="n"/>
      <c r="D73" s="7" t="n"/>
      <c r="E73" s="7" t="n"/>
      <c r="F73" s="7">
        <f>IF(AND(ISNUMBER(D73),ISNUMBER(E73)),IF(D73=E73,"yes","no"),"")</f>
        <v/>
      </c>
      <c r="G73" s="7" t="n"/>
    </row>
    <row r="74">
      <c r="A74" s="7" t="n"/>
      <c r="B74" s="7" t="n"/>
      <c r="C74" s="7" t="n"/>
      <c r="D74" s="7" t="n"/>
      <c r="E74" s="7" t="n"/>
      <c r="F74" s="7">
        <f>IF(AND(ISNUMBER(D74),ISNUMBER(E74)),IF(D74=E74,"yes","no"),"")</f>
        <v/>
      </c>
      <c r="G74" s="7" t="n"/>
    </row>
    <row r="75">
      <c r="A75" s="7" t="n"/>
      <c r="B75" s="7" t="n"/>
      <c r="C75" s="7" t="n"/>
      <c r="D75" s="7" t="n"/>
      <c r="E75" s="7" t="n"/>
      <c r="F75" s="7">
        <f>IF(AND(ISNUMBER(D75),ISNUMBER(E75)),IF(D75=E75,"yes","no"),"")</f>
        <v/>
      </c>
      <c r="G75" s="7" t="n"/>
    </row>
    <row r="76">
      <c r="A76" s="7" t="n"/>
      <c r="B76" s="7" t="n"/>
      <c r="C76" s="7" t="n"/>
      <c r="D76" s="7" t="n"/>
      <c r="E76" s="7" t="n"/>
      <c r="F76" s="7">
        <f>IF(AND(ISNUMBER(D76),ISNUMBER(E76)),IF(D76=E76,"yes","no"),"")</f>
        <v/>
      </c>
      <c r="G76" s="7" t="n"/>
    </row>
    <row r="77">
      <c r="A77" s="7" t="n"/>
      <c r="B77" s="7" t="n"/>
      <c r="C77" s="7" t="n"/>
      <c r="D77" s="7" t="n"/>
      <c r="E77" s="7" t="n"/>
      <c r="F77" s="7">
        <f>IF(AND(ISNUMBER(D77),ISNUMBER(E77)),IF(D77=E77,"yes","no"),"")</f>
        <v/>
      </c>
      <c r="G77" s="7" t="n"/>
    </row>
    <row r="78">
      <c r="A78" s="7" t="n"/>
      <c r="B78" s="7" t="n"/>
      <c r="C78" s="7" t="n"/>
      <c r="D78" s="7" t="n"/>
      <c r="E78" s="7" t="n"/>
      <c r="F78" s="7">
        <f>IF(AND(ISNUMBER(D78),ISNUMBER(E78)),IF(D78=E78,"yes","no"),"")</f>
        <v/>
      </c>
      <c r="G78" s="7" t="n"/>
    </row>
    <row r="79">
      <c r="A79" s="7" t="n"/>
      <c r="B79" s="7" t="n"/>
      <c r="C79" s="7" t="n"/>
      <c r="D79" s="7" t="n"/>
      <c r="E79" s="7" t="n"/>
      <c r="F79" s="7">
        <f>IF(AND(ISNUMBER(D79),ISNUMBER(E79)),IF(D79=E79,"yes","no"),"")</f>
        <v/>
      </c>
      <c r="G79" s="7" t="n"/>
    </row>
    <row r="80">
      <c r="A80" s="7" t="n"/>
      <c r="B80" s="7" t="n"/>
      <c r="C80" s="7" t="n"/>
      <c r="D80" s="7" t="n"/>
      <c r="E80" s="7" t="n"/>
      <c r="F80" s="7">
        <f>IF(AND(ISNUMBER(D80),ISNUMBER(E80)),IF(D80=E80,"yes","no"),"")</f>
        <v/>
      </c>
      <c r="G80" s="7" t="n"/>
    </row>
    <row r="81">
      <c r="A81" s="7" t="n"/>
      <c r="B81" s="7" t="n"/>
      <c r="C81" s="7" t="n"/>
      <c r="D81" s="7" t="n"/>
      <c r="E81" s="7" t="n"/>
      <c r="F81" s="7">
        <f>IF(AND(ISNUMBER(D81),ISNUMBER(E81)),IF(D81=E81,"yes","no"),"")</f>
        <v/>
      </c>
      <c r="G81" s="7" t="n"/>
    </row>
    <row r="82">
      <c r="A82" s="7" t="n"/>
      <c r="B82" s="7" t="n"/>
      <c r="C82" s="7" t="n"/>
      <c r="D82" s="7" t="n"/>
      <c r="E82" s="7" t="n"/>
      <c r="F82" s="7">
        <f>IF(AND(ISNUMBER(D82),ISNUMBER(E82)),IF(D82=E82,"yes","no"),"")</f>
        <v/>
      </c>
      <c r="G82" s="7" t="n"/>
    </row>
    <row r="83">
      <c r="A83" s="7" t="n"/>
      <c r="B83" s="7" t="n"/>
      <c r="C83" s="7" t="n"/>
      <c r="D83" s="7" t="n"/>
      <c r="E83" s="7" t="n"/>
      <c r="F83" s="7">
        <f>IF(AND(ISNUMBER(D83),ISNUMBER(E83)),IF(D83=E83,"yes","no"),"")</f>
        <v/>
      </c>
      <c r="G83" s="7" t="n"/>
    </row>
    <row r="84">
      <c r="A84" s="7" t="n"/>
      <c r="B84" s="7" t="n"/>
      <c r="C84" s="7" t="n"/>
      <c r="D84" s="7" t="n"/>
      <c r="E84" s="7" t="n"/>
      <c r="F84" s="7">
        <f>IF(AND(ISNUMBER(D84),ISNUMBER(E84)),IF(D84=E84,"yes","no"),"")</f>
        <v/>
      </c>
      <c r="G84" s="7" t="n"/>
    </row>
    <row r="85">
      <c r="A85" s="7" t="n"/>
      <c r="B85" s="7" t="n"/>
      <c r="C85" s="7" t="n"/>
      <c r="D85" s="7" t="n"/>
      <c r="E85" s="7" t="n"/>
      <c r="F85" s="7">
        <f>IF(AND(ISNUMBER(D85),ISNUMBER(E85)),IF(D85=E85,"yes","no"),"")</f>
        <v/>
      </c>
      <c r="G85" s="7" t="n"/>
    </row>
    <row r="86">
      <c r="A86" s="7" t="n"/>
      <c r="B86" s="7" t="n"/>
      <c r="C86" s="7" t="n"/>
      <c r="D86" s="7" t="n"/>
      <c r="E86" s="7" t="n"/>
      <c r="F86" s="7">
        <f>IF(AND(ISNUMBER(D86),ISNUMBER(E86)),IF(D86=E86,"yes","no"),"")</f>
        <v/>
      </c>
      <c r="G86" s="7" t="n"/>
    </row>
    <row r="87">
      <c r="A87" s="7" t="n"/>
      <c r="B87" s="7" t="n"/>
      <c r="C87" s="7" t="n"/>
      <c r="D87" s="7" t="n"/>
      <c r="E87" s="7" t="n"/>
      <c r="F87" s="7">
        <f>IF(AND(ISNUMBER(D87),ISNUMBER(E87)),IF(D87=E87,"yes","no"),"")</f>
        <v/>
      </c>
      <c r="G87" s="7" t="n"/>
    </row>
    <row r="88">
      <c r="A88" s="7" t="n"/>
      <c r="B88" s="7" t="n"/>
      <c r="C88" s="7" t="n"/>
      <c r="D88" s="7" t="n"/>
      <c r="E88" s="7" t="n"/>
      <c r="F88" s="7">
        <f>IF(AND(ISNUMBER(D88),ISNUMBER(E88)),IF(D88=E88,"yes","no"),"")</f>
        <v/>
      </c>
      <c r="G88" s="7" t="n"/>
    </row>
    <row r="89">
      <c r="A89" s="7" t="n"/>
      <c r="B89" s="7" t="n"/>
      <c r="C89" s="7" t="n"/>
      <c r="D89" s="7" t="n"/>
      <c r="E89" s="7" t="n"/>
      <c r="F89" s="7">
        <f>IF(AND(ISNUMBER(D89),ISNUMBER(E89)),IF(D89=E89,"yes","no"),"")</f>
        <v/>
      </c>
      <c r="G89" s="7" t="n"/>
    </row>
    <row r="90">
      <c r="A90" s="7" t="n"/>
      <c r="B90" s="7" t="n"/>
      <c r="C90" s="7" t="n"/>
      <c r="D90" s="7" t="n"/>
      <c r="E90" s="7" t="n"/>
      <c r="F90" s="7">
        <f>IF(AND(ISNUMBER(D90),ISNUMBER(E90)),IF(D90=E90,"yes","no"),"")</f>
        <v/>
      </c>
      <c r="G90" s="7" t="n"/>
    </row>
    <row r="91">
      <c r="A91" s="7" t="n"/>
      <c r="B91" s="7" t="n"/>
      <c r="C91" s="7" t="n"/>
      <c r="D91" s="7" t="n"/>
      <c r="E91" s="7" t="n"/>
      <c r="F91" s="7">
        <f>IF(AND(ISNUMBER(D91),ISNUMBER(E91)),IF(D91=E91,"yes","no"),"")</f>
        <v/>
      </c>
      <c r="G91" s="7" t="n"/>
    </row>
    <row r="92">
      <c r="A92" s="7" t="n"/>
      <c r="B92" s="7" t="n"/>
      <c r="C92" s="7" t="n"/>
      <c r="D92" s="7" t="n"/>
      <c r="E92" s="7" t="n"/>
      <c r="F92" s="7">
        <f>IF(AND(ISNUMBER(D92),ISNUMBER(E92)),IF(D92=E92,"yes","no"),"")</f>
        <v/>
      </c>
      <c r="G92" s="7" t="n"/>
    </row>
    <row r="93">
      <c r="A93" s="7" t="n"/>
      <c r="B93" s="7" t="n"/>
      <c r="C93" s="7" t="n"/>
      <c r="D93" s="7" t="n"/>
      <c r="E93" s="7" t="n"/>
      <c r="F93" s="7">
        <f>IF(AND(ISNUMBER(D93),ISNUMBER(E93)),IF(D93=E93,"yes","no"),"")</f>
        <v/>
      </c>
      <c r="G93" s="7" t="n"/>
    </row>
    <row r="94">
      <c r="A94" s="7" t="n"/>
      <c r="B94" s="7" t="n"/>
      <c r="C94" s="7" t="n"/>
      <c r="D94" s="7" t="n"/>
      <c r="E94" s="7" t="n"/>
      <c r="F94" s="7">
        <f>IF(AND(ISNUMBER(D94),ISNUMBER(E94)),IF(D94=E94,"yes","no"),"")</f>
        <v/>
      </c>
      <c r="G94" s="7" t="n"/>
    </row>
    <row r="95">
      <c r="A95" s="7" t="n"/>
      <c r="B95" s="7" t="n"/>
      <c r="C95" s="7" t="n"/>
      <c r="D95" s="7" t="n"/>
      <c r="E95" s="7" t="n"/>
      <c r="F95" s="7">
        <f>IF(AND(ISNUMBER(D95),ISNUMBER(E95)),IF(D95=E95,"yes","no"),"")</f>
        <v/>
      </c>
      <c r="G95" s="7" t="n"/>
    </row>
    <row r="96">
      <c r="A96" s="7" t="n"/>
      <c r="B96" s="7" t="n"/>
      <c r="C96" s="7" t="n"/>
      <c r="D96" s="7" t="n"/>
      <c r="E96" s="7" t="n"/>
      <c r="F96" s="7">
        <f>IF(AND(ISNUMBER(D96),ISNUMBER(E96)),IF(D96=E96,"yes","no"),"")</f>
        <v/>
      </c>
      <c r="G96" s="7" t="n"/>
    </row>
    <row r="97">
      <c r="A97" s="7" t="n"/>
      <c r="B97" s="7" t="n"/>
      <c r="C97" s="7" t="n"/>
      <c r="D97" s="7" t="n"/>
      <c r="E97" s="7" t="n"/>
      <c r="F97" s="7">
        <f>IF(AND(ISNUMBER(D97),ISNUMBER(E97)),IF(D97=E97,"yes","no"),"")</f>
        <v/>
      </c>
      <c r="G97" s="7" t="n"/>
    </row>
    <row r="98">
      <c r="A98" s="7" t="n"/>
      <c r="B98" s="7" t="n"/>
      <c r="C98" s="7" t="n"/>
      <c r="D98" s="7" t="n"/>
      <c r="E98" s="7" t="n"/>
      <c r="F98" s="7">
        <f>IF(AND(ISNUMBER(D98),ISNUMBER(E98)),IF(D98=E98,"yes","no"),"")</f>
        <v/>
      </c>
      <c r="G98" s="7" t="n"/>
    </row>
    <row r="99">
      <c r="A99" s="7" t="n"/>
      <c r="B99" s="7" t="n"/>
      <c r="C99" s="7" t="n"/>
      <c r="D99" s="7" t="n"/>
      <c r="E99" s="7" t="n"/>
      <c r="F99" s="7">
        <f>IF(AND(ISNUMBER(D99),ISNUMBER(E99)),IF(D99=E99,"yes","no"),"")</f>
        <v/>
      </c>
      <c r="G99" s="7" t="n"/>
    </row>
    <row r="100">
      <c r="A100" s="7" t="n"/>
      <c r="B100" s="7" t="n"/>
      <c r="C100" s="7" t="n"/>
      <c r="D100" s="7" t="n"/>
      <c r="E100" s="7" t="n"/>
      <c r="F100" s="7">
        <f>IF(AND(ISNUMBER(D100),ISNUMBER(E100)),IF(D100=E100,"yes","no"),"")</f>
        <v/>
      </c>
      <c r="G100" s="7" t="n"/>
    </row>
    <row r="101">
      <c r="A101" s="7" t="n"/>
      <c r="B101" s="7" t="n"/>
      <c r="C101" s="7" t="n"/>
      <c r="D101" s="7" t="n"/>
      <c r="E101" s="7" t="n"/>
      <c r="F101" s="7">
        <f>IF(AND(ISNUMBER(D101),ISNUMBER(E101)),IF(D101=E101,"yes","no"),"")</f>
        <v/>
      </c>
      <c r="G101" s="7" t="n"/>
    </row>
    <row r="102">
      <c r="A102" s="7" t="n"/>
      <c r="B102" s="7" t="n"/>
      <c r="C102" s="7" t="n"/>
      <c r="D102" s="7" t="n"/>
      <c r="E102" s="7" t="n"/>
      <c r="F102" s="7">
        <f>IF(AND(ISNUMBER(D102),ISNUMBER(E102)),IF(D102=E102,"yes","no"),"")</f>
        <v/>
      </c>
      <c r="G102" s="7" t="n"/>
    </row>
    <row r="103">
      <c r="A103" s="7" t="n"/>
      <c r="B103" s="7" t="n"/>
      <c r="C103" s="7" t="n"/>
      <c r="D103" s="7" t="n"/>
      <c r="E103" s="7" t="n"/>
      <c r="F103" s="7">
        <f>IF(AND(ISNUMBER(D103),ISNUMBER(E103)),IF(D103=E103,"yes","no"),"")</f>
        <v/>
      </c>
      <c r="G103" s="7" t="n"/>
    </row>
    <row r="104">
      <c r="A104" s="7" t="n"/>
      <c r="B104" s="7" t="n"/>
      <c r="C104" s="7" t="n"/>
      <c r="D104" s="7" t="n"/>
      <c r="E104" s="7" t="n"/>
      <c r="F104" s="7">
        <f>IF(AND(ISNUMBER(D104),ISNUMBER(E104)),IF(D104=E104,"yes","no"),"")</f>
        <v/>
      </c>
      <c r="G104" s="7" t="n"/>
    </row>
    <row r="105">
      <c r="A105" s="7" t="n"/>
      <c r="B105" s="7" t="n"/>
      <c r="C105" s="7" t="n"/>
      <c r="D105" s="7" t="n"/>
      <c r="E105" s="7" t="n"/>
      <c r="F105" s="7">
        <f>IF(AND(ISNUMBER(D105),ISNUMBER(E105)),IF(D105=E105,"yes","no"),"")</f>
        <v/>
      </c>
      <c r="G105" s="7" t="n"/>
    </row>
    <row r="106">
      <c r="A106" s="7" t="n"/>
      <c r="B106" s="7" t="n"/>
      <c r="C106" s="7" t="n"/>
      <c r="D106" s="7" t="n"/>
      <c r="E106" s="7" t="n"/>
      <c r="F106" s="7">
        <f>IF(AND(ISNUMBER(D106),ISNUMBER(E106)),IF(D106=E106,"yes","no"),"")</f>
        <v/>
      </c>
      <c r="G106" s="7" t="n"/>
    </row>
    <row r="107">
      <c r="A107" s="7" t="n"/>
      <c r="B107" s="7" t="n"/>
      <c r="C107" s="7" t="n"/>
      <c r="D107" s="7" t="n"/>
      <c r="E107" s="7" t="n"/>
      <c r="F107" s="7">
        <f>IF(AND(ISNUMBER(D107),ISNUMBER(E107)),IF(D107=E107,"yes","no"),"")</f>
        <v/>
      </c>
      <c r="G107" s="7" t="n"/>
    </row>
    <row r="108">
      <c r="A108" s="7" t="n"/>
      <c r="B108" s="7" t="n"/>
      <c r="C108" s="7" t="n"/>
      <c r="D108" s="7" t="n"/>
      <c r="E108" s="7" t="n"/>
      <c r="F108" s="7">
        <f>IF(AND(ISNUMBER(D108),ISNUMBER(E108)),IF(D108=E108,"yes","no"),"")</f>
        <v/>
      </c>
      <c r="G108" s="7" t="n"/>
    </row>
    <row r="109">
      <c r="A109" s="7" t="n"/>
      <c r="B109" s="7" t="n"/>
      <c r="C109" s="7" t="n"/>
      <c r="D109" s="7" t="n"/>
      <c r="E109" s="7" t="n"/>
      <c r="F109" s="7">
        <f>IF(AND(ISNUMBER(D109),ISNUMBER(E109)),IF(D109=E109,"yes","no"),"")</f>
        <v/>
      </c>
      <c r="G109" s="7" t="n"/>
    </row>
    <row r="110">
      <c r="A110" s="7" t="n"/>
      <c r="B110" s="7" t="n"/>
      <c r="C110" s="7" t="n"/>
      <c r="D110" s="7" t="n"/>
      <c r="E110" s="7" t="n"/>
      <c r="F110" s="7">
        <f>IF(AND(ISNUMBER(D110),ISNUMBER(E110)),IF(D110=E110,"yes","no"),"")</f>
        <v/>
      </c>
      <c r="G110" s="7" t="n"/>
    </row>
    <row r="111">
      <c r="A111" s="7" t="n"/>
      <c r="B111" s="7" t="n"/>
      <c r="C111" s="7" t="n"/>
      <c r="D111" s="7" t="n"/>
      <c r="E111" s="7" t="n"/>
      <c r="F111" s="7">
        <f>IF(AND(ISNUMBER(D111),ISNUMBER(E111)),IF(D111=E111,"yes","no"),"")</f>
        <v/>
      </c>
      <c r="G111" s="7" t="n"/>
    </row>
    <row r="112">
      <c r="A112" s="7" t="n"/>
      <c r="B112" s="7" t="n"/>
      <c r="C112" s="7" t="n"/>
      <c r="D112" s="7" t="n"/>
      <c r="E112" s="7" t="n"/>
      <c r="F112" s="7">
        <f>IF(AND(ISNUMBER(D112),ISNUMBER(E112)),IF(D112=E112,"yes","no"),"")</f>
        <v/>
      </c>
      <c r="G112" s="7" t="n"/>
    </row>
    <row r="113">
      <c r="A113" s="7" t="n"/>
      <c r="B113" s="7" t="n"/>
      <c r="C113" s="7" t="n"/>
      <c r="D113" s="7" t="n"/>
      <c r="E113" s="7" t="n"/>
      <c r="F113" s="7">
        <f>IF(AND(ISNUMBER(D113),ISNUMBER(E113)),IF(D113=E113,"yes","no"),"")</f>
        <v/>
      </c>
      <c r="G113" s="7" t="n"/>
    </row>
    <row r="114">
      <c r="A114" s="7" t="n"/>
      <c r="B114" s="7" t="n"/>
      <c r="C114" s="7" t="n"/>
      <c r="D114" s="7" t="n"/>
      <c r="E114" s="7" t="n"/>
      <c r="F114" s="7">
        <f>IF(AND(ISNUMBER(D114),ISNUMBER(E114)),IF(D114=E114,"yes","no"),"")</f>
        <v/>
      </c>
      <c r="G114" s="7" t="n"/>
    </row>
    <row r="115">
      <c r="A115" s="7" t="n"/>
      <c r="B115" s="7" t="n"/>
      <c r="C115" s="7" t="n"/>
      <c r="D115" s="7" t="n"/>
      <c r="E115" s="7" t="n"/>
      <c r="F115" s="7">
        <f>IF(AND(ISNUMBER(D115),ISNUMBER(E115)),IF(D115=E115,"yes","no"),"")</f>
        <v/>
      </c>
      <c r="G115" s="7" t="n"/>
    </row>
    <row r="116">
      <c r="A116" s="7" t="n"/>
      <c r="B116" s="7" t="n"/>
      <c r="C116" s="7" t="n"/>
      <c r="D116" s="7" t="n"/>
      <c r="E116" s="7" t="n"/>
      <c r="F116" s="7">
        <f>IF(AND(ISNUMBER(D116),ISNUMBER(E116)),IF(D116=E116,"yes","no"),"")</f>
        <v/>
      </c>
      <c r="G116" s="7" t="n"/>
    </row>
    <row r="117">
      <c r="A117" s="7" t="n"/>
      <c r="B117" s="7" t="n"/>
      <c r="C117" s="7" t="n"/>
      <c r="D117" s="7" t="n"/>
      <c r="E117" s="7" t="n"/>
      <c r="F117" s="7">
        <f>IF(AND(ISNUMBER(D117),ISNUMBER(E117)),IF(D117=E117,"yes","no"),"")</f>
        <v/>
      </c>
      <c r="G117" s="7" t="n"/>
    </row>
    <row r="118">
      <c r="A118" s="7" t="n"/>
      <c r="B118" s="7" t="n"/>
      <c r="C118" s="7" t="n"/>
      <c r="D118" s="7" t="n"/>
      <c r="E118" s="7" t="n"/>
      <c r="F118" s="7">
        <f>IF(AND(ISNUMBER(D118),ISNUMBER(E118)),IF(D118=E118,"yes","no"),"")</f>
        <v/>
      </c>
      <c r="G118" s="7" t="n"/>
    </row>
    <row r="119">
      <c r="A119" s="7" t="n"/>
      <c r="B119" s="7" t="n"/>
      <c r="C119" s="7" t="n"/>
      <c r="D119" s="7" t="n"/>
      <c r="E119" s="7" t="n"/>
      <c r="F119" s="7">
        <f>IF(AND(ISNUMBER(D119),ISNUMBER(E119)),IF(D119=E119,"yes","no"),"")</f>
        <v/>
      </c>
      <c r="G119" s="7" t="n"/>
    </row>
    <row r="120">
      <c r="A120" s="7" t="n"/>
      <c r="B120" s="7" t="n"/>
      <c r="C120" s="7" t="n"/>
      <c r="D120" s="7" t="n"/>
      <c r="E120" s="7" t="n"/>
      <c r="F120" s="7">
        <f>IF(AND(ISNUMBER(D120),ISNUMBER(E120)),IF(D120=E120,"yes","no"),"")</f>
        <v/>
      </c>
      <c r="G120" s="7" t="n"/>
    </row>
    <row r="121">
      <c r="A121" s="7" t="n"/>
      <c r="B121" s="7" t="n"/>
      <c r="C121" s="7" t="n"/>
      <c r="D121" s="7" t="n"/>
      <c r="E121" s="7" t="n"/>
      <c r="F121" s="7">
        <f>IF(AND(ISNUMBER(D121),ISNUMBER(E121)),IF(D121=E121,"yes","no"),"")</f>
        <v/>
      </c>
      <c r="G121" s="7" t="n"/>
    </row>
    <row r="122">
      <c r="A122" s="7" t="n"/>
      <c r="B122" s="7" t="n"/>
      <c r="C122" s="7" t="n"/>
      <c r="D122" s="7" t="n"/>
      <c r="E122" s="7" t="n"/>
      <c r="F122" s="7">
        <f>IF(AND(ISNUMBER(D122),ISNUMBER(E122)),IF(D122=E122,"yes","no"),"")</f>
        <v/>
      </c>
      <c r="G122" s="7" t="n"/>
    </row>
    <row r="123">
      <c r="A123" s="7" t="n"/>
      <c r="B123" s="7" t="n"/>
      <c r="C123" s="7" t="n"/>
      <c r="D123" s="7" t="n"/>
      <c r="E123" s="7" t="n"/>
      <c r="F123" s="7">
        <f>IF(AND(ISNUMBER(D123),ISNUMBER(E123)),IF(D123=E123,"yes","no"),"")</f>
        <v/>
      </c>
      <c r="G123" s="7" t="n"/>
    </row>
    <row r="124">
      <c r="A124" s="7" t="n"/>
      <c r="B124" s="7" t="n"/>
      <c r="C124" s="7" t="n"/>
      <c r="D124" s="7" t="n"/>
      <c r="E124" s="7" t="n"/>
      <c r="F124" s="7">
        <f>IF(AND(ISNUMBER(D124),ISNUMBER(E124)),IF(D124=E124,"yes","no"),"")</f>
        <v/>
      </c>
      <c r="G124" s="7" t="n"/>
    </row>
    <row r="125">
      <c r="A125" s="7" t="n"/>
      <c r="B125" s="7" t="n"/>
      <c r="C125" s="7" t="n"/>
      <c r="D125" s="7" t="n"/>
      <c r="E125" s="7" t="n"/>
      <c r="F125" s="7">
        <f>IF(AND(ISNUMBER(D125),ISNUMBER(E125)),IF(D125=E125,"yes","no"),"")</f>
        <v/>
      </c>
      <c r="G125" s="7" t="n"/>
    </row>
    <row r="126">
      <c r="A126" s="7" t="n"/>
      <c r="B126" s="7" t="n"/>
      <c r="C126" s="7" t="n"/>
      <c r="D126" s="7" t="n"/>
      <c r="E126" s="7" t="n"/>
      <c r="F126" s="7">
        <f>IF(AND(ISNUMBER(D126),ISNUMBER(E126)),IF(D126=E126,"yes","no"),"")</f>
        <v/>
      </c>
      <c r="G126" s="7" t="n"/>
    </row>
    <row r="127">
      <c r="A127" s="7" t="n"/>
      <c r="B127" s="7" t="n"/>
      <c r="C127" s="7" t="n"/>
      <c r="D127" s="7" t="n"/>
      <c r="E127" s="7" t="n"/>
      <c r="F127" s="7">
        <f>IF(AND(ISNUMBER(D127),ISNUMBER(E127)),IF(D127=E127,"yes","no"),"")</f>
        <v/>
      </c>
      <c r="G127" s="7" t="n"/>
    </row>
    <row r="128">
      <c r="A128" s="7" t="n"/>
      <c r="B128" s="7" t="n"/>
      <c r="C128" s="7" t="n"/>
      <c r="D128" s="7" t="n"/>
      <c r="E128" s="7" t="n"/>
      <c r="F128" s="7">
        <f>IF(AND(ISNUMBER(D128),ISNUMBER(E128)),IF(D128=E128,"yes","no"),"")</f>
        <v/>
      </c>
      <c r="G128" s="7" t="n"/>
    </row>
    <row r="129">
      <c r="A129" s="7" t="n"/>
      <c r="B129" s="7" t="n"/>
      <c r="C129" s="7" t="n"/>
      <c r="D129" s="7" t="n"/>
      <c r="E129" s="7" t="n"/>
      <c r="F129" s="7">
        <f>IF(AND(ISNUMBER(D129),ISNUMBER(E129)),IF(D129=E129,"yes","no"),"")</f>
        <v/>
      </c>
      <c r="G129" s="7" t="n"/>
    </row>
    <row r="130">
      <c r="A130" s="7" t="n"/>
      <c r="B130" s="7" t="n"/>
      <c r="C130" s="7" t="n"/>
      <c r="D130" s="7" t="n"/>
      <c r="E130" s="7" t="n"/>
      <c r="F130" s="7">
        <f>IF(AND(ISNUMBER(D130),ISNUMBER(E130)),IF(D130=E130,"yes","no"),"")</f>
        <v/>
      </c>
      <c r="G130" s="7" t="n"/>
    </row>
    <row r="131">
      <c r="A131" s="7" t="n"/>
      <c r="B131" s="7" t="n"/>
      <c r="C131" s="7" t="n"/>
      <c r="D131" s="7" t="n"/>
      <c r="E131" s="7" t="n"/>
      <c r="F131" s="7">
        <f>IF(AND(ISNUMBER(D131),ISNUMBER(E131)),IF(D131=E131,"yes","no"),"")</f>
        <v/>
      </c>
      <c r="G131" s="7" t="n"/>
    </row>
    <row r="132">
      <c r="A132" s="7" t="n"/>
      <c r="B132" s="7" t="n"/>
      <c r="C132" s="7" t="n"/>
      <c r="D132" s="7" t="n"/>
      <c r="E132" s="7" t="n"/>
      <c r="F132" s="7">
        <f>IF(AND(ISNUMBER(D132),ISNUMBER(E132)),IF(D132=E132,"yes","no"),"")</f>
        <v/>
      </c>
      <c r="G132" s="7" t="n"/>
    </row>
    <row r="133">
      <c r="A133" s="7" t="n"/>
      <c r="B133" s="7" t="n"/>
      <c r="C133" s="7" t="n"/>
      <c r="D133" s="7" t="n"/>
      <c r="E133" s="7" t="n"/>
      <c r="F133" s="7">
        <f>IF(AND(ISNUMBER(D133),ISNUMBER(E133)),IF(D133=E133,"yes","no"),"")</f>
        <v/>
      </c>
      <c r="G133" s="7" t="n"/>
    </row>
    <row r="134">
      <c r="A134" s="7" t="n"/>
      <c r="B134" s="7" t="n"/>
      <c r="C134" s="7" t="n"/>
      <c r="D134" s="7" t="n"/>
      <c r="E134" s="7" t="n"/>
      <c r="F134" s="7">
        <f>IF(AND(ISNUMBER(D134),ISNUMBER(E134)),IF(D134=E134,"yes","no"),"")</f>
        <v/>
      </c>
      <c r="G134" s="7" t="n"/>
    </row>
    <row r="135">
      <c r="A135" s="7" t="n"/>
      <c r="B135" s="7" t="n"/>
      <c r="C135" s="7" t="n"/>
      <c r="D135" s="7" t="n"/>
      <c r="E135" s="7" t="n"/>
      <c r="F135" s="7">
        <f>IF(AND(ISNUMBER(D135),ISNUMBER(E135)),IF(D135=E135,"yes","no"),"")</f>
        <v/>
      </c>
      <c r="G135" s="7" t="n"/>
    </row>
    <row r="136">
      <c r="A136" s="7" t="n"/>
      <c r="B136" s="7" t="n"/>
      <c r="C136" s="7" t="n"/>
      <c r="D136" s="7" t="n"/>
      <c r="E136" s="7" t="n"/>
      <c r="F136" s="7">
        <f>IF(AND(ISNUMBER(D136),ISNUMBER(E136)),IF(D136=E136,"yes","no"),"")</f>
        <v/>
      </c>
      <c r="G136" s="7" t="n"/>
    </row>
    <row r="137">
      <c r="A137" s="7" t="n"/>
      <c r="B137" s="7" t="n"/>
      <c r="C137" s="7" t="n"/>
      <c r="D137" s="7" t="n"/>
      <c r="E137" s="7" t="n"/>
      <c r="F137" s="7">
        <f>IF(AND(ISNUMBER(D137),ISNUMBER(E137)),IF(D137=E137,"yes","no"),"")</f>
        <v/>
      </c>
      <c r="G137" s="7" t="n"/>
    </row>
    <row r="138">
      <c r="A138" s="7" t="n"/>
      <c r="B138" s="7" t="n"/>
      <c r="C138" s="7" t="n"/>
      <c r="D138" s="7" t="n"/>
      <c r="E138" s="7" t="n"/>
      <c r="F138" s="7">
        <f>IF(AND(ISNUMBER(D138),ISNUMBER(E138)),IF(D138=E138,"yes","no"),"")</f>
        <v/>
      </c>
      <c r="G138" s="7" t="n"/>
    </row>
    <row r="139">
      <c r="A139" s="7" t="n"/>
      <c r="B139" s="7" t="n"/>
      <c r="C139" s="7" t="n"/>
      <c r="D139" s="7" t="n"/>
      <c r="E139" s="7" t="n"/>
      <c r="F139" s="7">
        <f>IF(AND(ISNUMBER(D139),ISNUMBER(E139)),IF(D139=E139,"yes","no"),"")</f>
        <v/>
      </c>
      <c r="G139" s="7" t="n"/>
    </row>
    <row r="140">
      <c r="A140" s="7" t="n"/>
      <c r="B140" s="7" t="n"/>
      <c r="C140" s="7" t="n"/>
      <c r="D140" s="7" t="n"/>
      <c r="E140" s="7" t="n"/>
      <c r="F140" s="7">
        <f>IF(AND(ISNUMBER(D140),ISNUMBER(E140)),IF(D140=E140,"yes","no"),"")</f>
        <v/>
      </c>
      <c r="G140" s="7" t="n"/>
    </row>
    <row r="141">
      <c r="A141" s="7" t="n"/>
      <c r="B141" s="7" t="n"/>
      <c r="C141" s="7" t="n"/>
      <c r="D141" s="7" t="n"/>
      <c r="E141" s="7" t="n"/>
      <c r="F141" s="7">
        <f>IF(AND(ISNUMBER(D141),ISNUMBER(E141)),IF(D141=E141,"yes","no"),"")</f>
        <v/>
      </c>
      <c r="G141" s="7" t="n"/>
    </row>
    <row r="142">
      <c r="A142" s="7" t="n"/>
      <c r="B142" s="7" t="n"/>
      <c r="C142" s="7" t="n"/>
      <c r="D142" s="7" t="n"/>
      <c r="E142" s="7" t="n"/>
      <c r="F142" s="7">
        <f>IF(AND(ISNUMBER(D142),ISNUMBER(E142)),IF(D142=E142,"yes","no"),"")</f>
        <v/>
      </c>
      <c r="G142" s="7" t="n"/>
    </row>
    <row r="143">
      <c r="A143" s="7" t="n"/>
      <c r="B143" s="7" t="n"/>
      <c r="C143" s="7" t="n"/>
      <c r="D143" s="7" t="n"/>
      <c r="E143" s="7" t="n"/>
      <c r="F143" s="7">
        <f>IF(AND(ISNUMBER(D143),ISNUMBER(E143)),IF(D143=E143,"yes","no"),"")</f>
        <v/>
      </c>
      <c r="G143" s="7" t="n"/>
    </row>
    <row r="144">
      <c r="A144" s="7" t="n"/>
      <c r="B144" s="7" t="n"/>
      <c r="C144" s="7" t="n"/>
      <c r="D144" s="7" t="n"/>
      <c r="E144" s="7" t="n"/>
      <c r="F144" s="7">
        <f>IF(AND(ISNUMBER(D144),ISNUMBER(E144)),IF(D144=E144,"yes","no"),"")</f>
        <v/>
      </c>
      <c r="G144" s="7" t="n"/>
    </row>
    <row r="145">
      <c r="A145" s="7" t="n"/>
      <c r="B145" s="7" t="n"/>
      <c r="C145" s="7" t="n"/>
      <c r="D145" s="7" t="n"/>
      <c r="E145" s="7" t="n"/>
      <c r="F145" s="7">
        <f>IF(AND(ISNUMBER(D145),ISNUMBER(E145)),IF(D145=E145,"yes","no"),"")</f>
        <v/>
      </c>
      <c r="G145" s="7" t="n"/>
    </row>
    <row r="146">
      <c r="A146" s="7" t="n"/>
      <c r="B146" s="7" t="n"/>
      <c r="C146" s="7" t="n"/>
      <c r="D146" s="7" t="n"/>
      <c r="E146" s="7" t="n"/>
      <c r="F146" s="7">
        <f>IF(AND(ISNUMBER(D146),ISNUMBER(E146)),IF(D146=E146,"yes","no"),"")</f>
        <v/>
      </c>
      <c r="G146" s="7" t="n"/>
    </row>
    <row r="147">
      <c r="A147" s="7" t="n"/>
      <c r="B147" s="7" t="n"/>
      <c r="C147" s="7" t="n"/>
      <c r="D147" s="7" t="n"/>
      <c r="E147" s="7" t="n"/>
      <c r="F147" s="7">
        <f>IF(AND(ISNUMBER(D147),ISNUMBER(E147)),IF(D147=E147,"yes","no"),"")</f>
        <v/>
      </c>
      <c r="G147" s="7" t="n"/>
    </row>
    <row r="148">
      <c r="A148" s="7" t="n"/>
      <c r="B148" s="7" t="n"/>
      <c r="C148" s="7" t="n"/>
      <c r="D148" s="7" t="n"/>
      <c r="E148" s="7" t="n"/>
      <c r="F148" s="7">
        <f>IF(AND(ISNUMBER(D148),ISNUMBER(E148)),IF(D148=E148,"yes","no"),"")</f>
        <v/>
      </c>
      <c r="G148" s="7" t="n"/>
    </row>
    <row r="149">
      <c r="A149" s="7" t="n"/>
      <c r="B149" s="7" t="n"/>
      <c r="C149" s="7" t="n"/>
      <c r="D149" s="7" t="n"/>
      <c r="E149" s="7" t="n"/>
      <c r="F149" s="7">
        <f>IF(AND(ISNUMBER(D149),ISNUMBER(E149)),IF(D149=E149,"yes","no"),"")</f>
        <v/>
      </c>
      <c r="G149" s="7" t="n"/>
    </row>
    <row r="150">
      <c r="A150" s="7" t="n"/>
      <c r="B150" s="7" t="n"/>
      <c r="C150" s="7" t="n"/>
      <c r="D150" s="7" t="n"/>
      <c r="E150" s="7" t="n"/>
      <c r="F150" s="7">
        <f>IF(AND(ISNUMBER(D150),ISNUMBER(E150)),IF(D150=E150,"yes","no"),"")</f>
        <v/>
      </c>
      <c r="G150" s="7" t="n"/>
    </row>
    <row r="151">
      <c r="A151" s="7" t="n"/>
      <c r="B151" s="7" t="n"/>
      <c r="C151" s="7" t="n"/>
      <c r="D151" s="7" t="n"/>
      <c r="E151" s="7" t="n"/>
      <c r="F151" s="7">
        <f>IF(AND(ISNUMBER(D151),ISNUMBER(E151)),IF(D151=E151,"yes","no"),"")</f>
        <v/>
      </c>
      <c r="G151" s="7" t="n"/>
    </row>
    <row r="152">
      <c r="A152" s="7" t="n"/>
      <c r="B152" s="7" t="n"/>
      <c r="C152" s="7" t="n"/>
      <c r="D152" s="7" t="n"/>
      <c r="E152" s="7" t="n"/>
      <c r="F152" s="7">
        <f>IF(AND(ISNUMBER(D152),ISNUMBER(E152)),IF(D152=E152,"yes","no"),"")</f>
        <v/>
      </c>
      <c r="G152" s="7" t="n"/>
    </row>
    <row r="153">
      <c r="A153" s="7" t="n"/>
      <c r="B153" s="7" t="n"/>
      <c r="C153" s="7" t="n"/>
      <c r="D153" s="7" t="n"/>
      <c r="E153" s="7" t="n"/>
      <c r="F153" s="7">
        <f>IF(AND(ISNUMBER(D153),ISNUMBER(E153)),IF(D153=E153,"yes","no"),"")</f>
        <v/>
      </c>
      <c r="G153" s="7" t="n"/>
    </row>
    <row r="154">
      <c r="A154" s="7" t="n"/>
      <c r="B154" s="7" t="n"/>
      <c r="C154" s="7" t="n"/>
      <c r="D154" s="7" t="n"/>
      <c r="E154" s="7" t="n"/>
      <c r="F154" s="7">
        <f>IF(AND(ISNUMBER(D154),ISNUMBER(E154)),IF(D154=E154,"yes","no"),"")</f>
        <v/>
      </c>
      <c r="G154" s="7" t="n"/>
    </row>
    <row r="155">
      <c r="A155" s="7" t="n"/>
      <c r="B155" s="7" t="n"/>
      <c r="C155" s="7" t="n"/>
      <c r="D155" s="7" t="n"/>
      <c r="E155" s="7" t="n"/>
      <c r="F155" s="7">
        <f>IF(AND(ISNUMBER(D155),ISNUMBER(E155)),IF(D155=E155,"yes","no"),"")</f>
        <v/>
      </c>
      <c r="G155" s="7" t="n"/>
    </row>
    <row r="156">
      <c r="A156" s="7" t="n"/>
      <c r="B156" s="7" t="n"/>
      <c r="C156" s="7" t="n"/>
      <c r="D156" s="7" t="n"/>
      <c r="E156" s="7" t="n"/>
      <c r="F156" s="7">
        <f>IF(AND(ISNUMBER(D156),ISNUMBER(E156)),IF(D156=E156,"yes","no"),"")</f>
        <v/>
      </c>
      <c r="G156" s="7" t="n"/>
    </row>
    <row r="157">
      <c r="A157" s="7" t="n"/>
      <c r="B157" s="7" t="n"/>
      <c r="C157" s="7" t="n"/>
      <c r="D157" s="7" t="n"/>
      <c r="E157" s="7" t="n"/>
      <c r="F157" s="7">
        <f>IF(AND(ISNUMBER(D157),ISNUMBER(E157)),IF(D157=E157,"yes","no"),"")</f>
        <v/>
      </c>
      <c r="G157" s="7" t="n"/>
    </row>
    <row r="158">
      <c r="A158" s="7" t="n"/>
      <c r="B158" s="7" t="n"/>
      <c r="C158" s="7" t="n"/>
      <c r="D158" s="7" t="n"/>
      <c r="E158" s="7" t="n"/>
      <c r="F158" s="7">
        <f>IF(AND(ISNUMBER(D158),ISNUMBER(E158)),IF(D158=E158,"yes","no"),"")</f>
        <v/>
      </c>
      <c r="G158" s="7" t="n"/>
    </row>
    <row r="159">
      <c r="A159" s="7" t="n"/>
      <c r="B159" s="7" t="n"/>
      <c r="C159" s="7" t="n"/>
      <c r="D159" s="7" t="n"/>
      <c r="E159" s="7" t="n"/>
      <c r="F159" s="7">
        <f>IF(AND(ISNUMBER(D159),ISNUMBER(E159)),IF(D159=E159,"yes","no"),"")</f>
        <v/>
      </c>
      <c r="G159" s="7" t="n"/>
    </row>
    <row r="160">
      <c r="A160" s="7" t="n"/>
      <c r="B160" s="7" t="n"/>
      <c r="C160" s="7" t="n"/>
      <c r="D160" s="7" t="n"/>
      <c r="E160" s="7" t="n"/>
      <c r="F160" s="7">
        <f>IF(AND(ISNUMBER(D160),ISNUMBER(E160)),IF(D160=E160,"yes","no"),"")</f>
        <v/>
      </c>
      <c r="G160" s="7" t="n"/>
    </row>
    <row r="161">
      <c r="A161" s="7" t="n"/>
      <c r="B161" s="7" t="n"/>
      <c r="C161" s="7" t="n"/>
      <c r="D161" s="7" t="n"/>
      <c r="E161" s="7" t="n"/>
      <c r="F161" s="7">
        <f>IF(AND(ISNUMBER(D161),ISNUMBER(E161)),IF(D161=E161,"yes","no"),"")</f>
        <v/>
      </c>
      <c r="G161" s="7" t="n"/>
    </row>
    <row r="162">
      <c r="A162" s="7" t="n"/>
      <c r="B162" s="7" t="n"/>
      <c r="C162" s="7" t="n"/>
      <c r="D162" s="7" t="n"/>
      <c r="E162" s="7" t="n"/>
      <c r="F162" s="7">
        <f>IF(AND(ISNUMBER(D162),ISNUMBER(E162)),IF(D162=E162,"yes","no"),"")</f>
        <v/>
      </c>
      <c r="G162" s="7" t="n"/>
    </row>
    <row r="163">
      <c r="A163" s="7" t="n"/>
      <c r="B163" s="7" t="n"/>
      <c r="C163" s="7" t="n"/>
      <c r="D163" s="7" t="n"/>
      <c r="E163" s="7" t="n"/>
      <c r="F163" s="7">
        <f>IF(AND(ISNUMBER(D163),ISNUMBER(E163)),IF(D163=E163,"yes","no"),"")</f>
        <v/>
      </c>
      <c r="G163" s="7" t="n"/>
    </row>
    <row r="164">
      <c r="A164" s="7" t="n"/>
      <c r="B164" s="7" t="n"/>
      <c r="C164" s="7" t="n"/>
      <c r="D164" s="7" t="n"/>
      <c r="E164" s="7" t="n"/>
      <c r="F164" s="7">
        <f>IF(AND(ISNUMBER(D164),ISNUMBER(E164)),IF(D164=E164,"yes","no"),"")</f>
        <v/>
      </c>
      <c r="G164" s="7" t="n"/>
    </row>
    <row r="165">
      <c r="A165" s="7" t="n"/>
      <c r="B165" s="7" t="n"/>
      <c r="C165" s="7" t="n"/>
      <c r="D165" s="7" t="n"/>
      <c r="E165" s="7" t="n"/>
      <c r="F165" s="7">
        <f>IF(AND(ISNUMBER(D165),ISNUMBER(E165)),IF(D165=E165,"yes","no"),"")</f>
        <v/>
      </c>
      <c r="G165" s="7" t="n"/>
    </row>
    <row r="166">
      <c r="A166" s="7" t="n"/>
      <c r="B166" s="7" t="n"/>
      <c r="C166" s="7" t="n"/>
      <c r="D166" s="7" t="n"/>
      <c r="E166" s="7" t="n"/>
      <c r="F166" s="7">
        <f>IF(AND(ISNUMBER(D166),ISNUMBER(E166)),IF(D166=E166,"yes","no"),"")</f>
        <v/>
      </c>
      <c r="G166" s="7" t="n"/>
    </row>
    <row r="167">
      <c r="A167" s="7" t="n"/>
      <c r="B167" s="7" t="n"/>
      <c r="C167" s="7" t="n"/>
      <c r="D167" s="7" t="n"/>
      <c r="E167" s="7" t="n"/>
      <c r="F167" s="7">
        <f>IF(AND(ISNUMBER(D167),ISNUMBER(E167)),IF(D167=E167,"yes","no"),"")</f>
        <v/>
      </c>
      <c r="G167" s="7" t="n"/>
    </row>
    <row r="168">
      <c r="A168" s="7" t="n"/>
      <c r="B168" s="7" t="n"/>
      <c r="C168" s="7" t="n"/>
      <c r="D168" s="7" t="n"/>
      <c r="E168" s="7" t="n"/>
      <c r="F168" s="7">
        <f>IF(AND(ISNUMBER(D168),ISNUMBER(E168)),IF(D168=E168,"yes","no"),"")</f>
        <v/>
      </c>
      <c r="G168" s="7" t="n"/>
    </row>
    <row r="169">
      <c r="A169" s="7" t="n"/>
      <c r="B169" s="7" t="n"/>
      <c r="C169" s="7" t="n"/>
      <c r="D169" s="7" t="n"/>
      <c r="E169" s="7" t="n"/>
      <c r="F169" s="7">
        <f>IF(AND(ISNUMBER(D169),ISNUMBER(E169)),IF(D169=E169,"yes","no"),"")</f>
        <v/>
      </c>
      <c r="G169" s="7" t="n"/>
    </row>
    <row r="170">
      <c r="A170" s="7" t="n"/>
      <c r="B170" s="7" t="n"/>
      <c r="C170" s="7" t="n"/>
      <c r="D170" s="7" t="n"/>
      <c r="E170" s="7" t="n"/>
      <c r="F170" s="7">
        <f>IF(AND(ISNUMBER(D170),ISNUMBER(E170)),IF(D170=E170,"yes","no"),"")</f>
        <v/>
      </c>
      <c r="G170" s="7" t="n"/>
    </row>
    <row r="171">
      <c r="A171" s="7" t="n"/>
      <c r="B171" s="7" t="n"/>
      <c r="C171" s="7" t="n"/>
      <c r="D171" s="7" t="n"/>
      <c r="E171" s="7" t="n"/>
      <c r="F171" s="7">
        <f>IF(AND(ISNUMBER(D171),ISNUMBER(E171)),IF(D171=E171,"yes","no"),"")</f>
        <v/>
      </c>
      <c r="G171" s="7" t="n"/>
    </row>
    <row r="172">
      <c r="A172" s="7" t="n"/>
      <c r="B172" s="7" t="n"/>
      <c r="C172" s="7" t="n"/>
      <c r="D172" s="7" t="n"/>
      <c r="E172" s="7" t="n"/>
      <c r="F172" s="7">
        <f>IF(AND(ISNUMBER(D172),ISNUMBER(E172)),IF(D172=E172,"yes","no"),"")</f>
        <v/>
      </c>
      <c r="G172" s="7" t="n"/>
    </row>
    <row r="173">
      <c r="A173" s="7" t="n"/>
      <c r="B173" s="7" t="n"/>
      <c r="C173" s="7" t="n"/>
      <c r="D173" s="7" t="n"/>
      <c r="E173" s="7" t="n"/>
      <c r="F173" s="7">
        <f>IF(AND(ISNUMBER(D173),ISNUMBER(E173)),IF(D173=E173,"yes","no"),"")</f>
        <v/>
      </c>
      <c r="G173" s="7" t="n"/>
    </row>
    <row r="174">
      <c r="A174" s="7" t="n"/>
      <c r="B174" s="7" t="n"/>
      <c r="C174" s="7" t="n"/>
      <c r="D174" s="7" t="n"/>
      <c r="E174" s="7" t="n"/>
      <c r="F174" s="7">
        <f>IF(AND(ISNUMBER(D174),ISNUMBER(E174)),IF(D174=E174,"yes","no"),"")</f>
        <v/>
      </c>
      <c r="G174" s="7" t="n"/>
    </row>
    <row r="175">
      <c r="A175" s="7" t="n"/>
      <c r="B175" s="7" t="n"/>
      <c r="C175" s="7" t="n"/>
      <c r="D175" s="7" t="n"/>
      <c r="E175" s="7" t="n"/>
      <c r="F175" s="7">
        <f>IF(AND(ISNUMBER(D175),ISNUMBER(E175)),IF(D175=E175,"yes","no"),"")</f>
        <v/>
      </c>
      <c r="G175" s="7" t="n"/>
    </row>
    <row r="176">
      <c r="A176" s="7" t="n"/>
      <c r="B176" s="7" t="n"/>
      <c r="C176" s="7" t="n"/>
      <c r="D176" s="7" t="n"/>
      <c r="E176" s="7" t="n"/>
      <c r="F176" s="7">
        <f>IF(AND(ISNUMBER(D176),ISNUMBER(E176)),IF(D176=E176,"yes","no"),"")</f>
        <v/>
      </c>
      <c r="G176" s="7" t="n"/>
    </row>
    <row r="177">
      <c r="A177" s="7" t="n"/>
      <c r="B177" s="7" t="n"/>
      <c r="C177" s="7" t="n"/>
      <c r="D177" s="7" t="n"/>
      <c r="E177" s="7" t="n"/>
      <c r="F177" s="7">
        <f>IF(AND(ISNUMBER(D177),ISNUMBER(E177)),IF(D177=E177,"yes","no"),"")</f>
        <v/>
      </c>
      <c r="G177" s="7" t="n"/>
    </row>
    <row r="178">
      <c r="A178" s="7" t="n"/>
      <c r="B178" s="7" t="n"/>
      <c r="C178" s="7" t="n"/>
      <c r="D178" s="7" t="n"/>
      <c r="E178" s="7" t="n"/>
      <c r="F178" s="7">
        <f>IF(AND(ISNUMBER(D178),ISNUMBER(E178)),IF(D178=E178,"yes","no"),"")</f>
        <v/>
      </c>
      <c r="G178" s="7" t="n"/>
    </row>
    <row r="179">
      <c r="A179" s="7" t="n"/>
      <c r="B179" s="7" t="n"/>
      <c r="C179" s="7" t="n"/>
      <c r="D179" s="7" t="n"/>
      <c r="E179" s="7" t="n"/>
      <c r="F179" s="7">
        <f>IF(AND(ISNUMBER(D179),ISNUMBER(E179)),IF(D179=E179,"yes","no"),"")</f>
        <v/>
      </c>
      <c r="G179" s="7" t="n"/>
    </row>
    <row r="180">
      <c r="A180" s="7" t="n"/>
      <c r="B180" s="7" t="n"/>
      <c r="C180" s="7" t="n"/>
      <c r="D180" s="7" t="n"/>
      <c r="E180" s="7" t="n"/>
      <c r="F180" s="7">
        <f>IF(AND(ISNUMBER(D180),ISNUMBER(E180)),IF(D180=E180,"yes","no"),"")</f>
        <v/>
      </c>
      <c r="G180" s="7" t="n"/>
    </row>
    <row r="181">
      <c r="A181" s="7" t="n"/>
      <c r="B181" s="7" t="n"/>
      <c r="C181" s="7" t="n"/>
      <c r="D181" s="7" t="n"/>
      <c r="E181" s="7" t="n"/>
      <c r="F181" s="7">
        <f>IF(AND(ISNUMBER(D181),ISNUMBER(E181)),IF(D181=E181,"yes","no"),"")</f>
        <v/>
      </c>
      <c r="G181" s="7" t="n"/>
    </row>
    <row r="182">
      <c r="A182" s="7" t="n"/>
      <c r="B182" s="7" t="n"/>
      <c r="C182" s="7" t="n"/>
      <c r="D182" s="7" t="n"/>
      <c r="E182" s="7" t="n"/>
      <c r="F182" s="7">
        <f>IF(AND(ISNUMBER(D182),ISNUMBER(E182)),IF(D182=E182,"yes","no"),"")</f>
        <v/>
      </c>
      <c r="G182" s="7" t="n"/>
    </row>
    <row r="183">
      <c r="A183" s="7" t="n"/>
      <c r="B183" s="7" t="n"/>
      <c r="C183" s="7" t="n"/>
      <c r="D183" s="7" t="n"/>
      <c r="E183" s="7" t="n"/>
      <c r="F183" s="7">
        <f>IF(AND(ISNUMBER(D183),ISNUMBER(E183)),IF(D183=E183,"yes","no"),"")</f>
        <v/>
      </c>
      <c r="G183" s="7" t="n"/>
    </row>
    <row r="184">
      <c r="A184" s="7" t="n"/>
      <c r="B184" s="7" t="n"/>
      <c r="C184" s="7" t="n"/>
      <c r="D184" s="7" t="n"/>
      <c r="E184" s="7" t="n"/>
      <c r="F184" s="7">
        <f>IF(AND(ISNUMBER(D184),ISNUMBER(E184)),IF(D184=E184,"yes","no"),"")</f>
        <v/>
      </c>
      <c r="G184" s="7" t="n"/>
    </row>
    <row r="185">
      <c r="A185" s="7" t="n"/>
      <c r="B185" s="7" t="n"/>
      <c r="C185" s="7" t="n"/>
      <c r="D185" s="7" t="n"/>
      <c r="E185" s="7" t="n"/>
      <c r="F185" s="7">
        <f>IF(AND(ISNUMBER(D185),ISNUMBER(E185)),IF(D185=E185,"yes","no"),"")</f>
        <v/>
      </c>
      <c r="G185" s="7" t="n"/>
    </row>
    <row r="186">
      <c r="A186" s="7" t="n"/>
      <c r="B186" s="7" t="n"/>
      <c r="C186" s="7" t="n"/>
      <c r="D186" s="7" t="n"/>
      <c r="E186" s="7" t="n"/>
      <c r="F186" s="7">
        <f>IF(AND(ISNUMBER(D186),ISNUMBER(E186)),IF(D186=E186,"yes","no"),"")</f>
        <v/>
      </c>
      <c r="G186" s="7" t="n"/>
    </row>
    <row r="187">
      <c r="A187" s="7" t="n"/>
      <c r="B187" s="7" t="n"/>
      <c r="C187" s="7" t="n"/>
      <c r="D187" s="7" t="n"/>
      <c r="E187" s="7" t="n"/>
      <c r="F187" s="7">
        <f>IF(AND(ISNUMBER(D187),ISNUMBER(E187)),IF(D187=E187,"yes","no"),"")</f>
        <v/>
      </c>
      <c r="G187" s="7" t="n"/>
    </row>
    <row r="188">
      <c r="A188" s="7" t="n"/>
      <c r="B188" s="7" t="n"/>
      <c r="C188" s="7" t="n"/>
      <c r="D188" s="7" t="n"/>
      <c r="E188" s="7" t="n"/>
      <c r="F188" s="7">
        <f>IF(AND(ISNUMBER(D188),ISNUMBER(E188)),IF(D188=E188,"yes","no"),"")</f>
        <v/>
      </c>
      <c r="G188" s="7" t="n"/>
    </row>
    <row r="189">
      <c r="A189" s="7" t="n"/>
      <c r="B189" s="7" t="n"/>
      <c r="C189" s="7" t="n"/>
      <c r="D189" s="7" t="n"/>
      <c r="E189" s="7" t="n"/>
      <c r="F189" s="7">
        <f>IF(AND(ISNUMBER(D189),ISNUMBER(E189)),IF(D189=E189,"yes","no"),"")</f>
        <v/>
      </c>
      <c r="G189" s="7" t="n"/>
    </row>
    <row r="190">
      <c r="A190" s="7" t="n"/>
      <c r="B190" s="7" t="n"/>
      <c r="C190" s="7" t="n"/>
      <c r="D190" s="7" t="n"/>
      <c r="E190" s="7" t="n"/>
      <c r="F190" s="7">
        <f>IF(AND(ISNUMBER(D190),ISNUMBER(E190)),IF(D190=E190,"yes","no"),"")</f>
        <v/>
      </c>
      <c r="G190" s="7" t="n"/>
    </row>
    <row r="191">
      <c r="A191" s="7" t="n"/>
      <c r="B191" s="7" t="n"/>
      <c r="C191" s="7" t="n"/>
      <c r="D191" s="7" t="n"/>
      <c r="E191" s="7" t="n"/>
      <c r="F191" s="7">
        <f>IF(AND(ISNUMBER(D191),ISNUMBER(E191)),IF(D191=E191,"yes","no"),"")</f>
        <v/>
      </c>
      <c r="G191" s="7" t="n"/>
    </row>
    <row r="192">
      <c r="A192" s="7" t="n"/>
      <c r="B192" s="7" t="n"/>
      <c r="C192" s="7" t="n"/>
      <c r="D192" s="7" t="n"/>
      <c r="E192" s="7" t="n"/>
      <c r="F192" s="7">
        <f>IF(AND(ISNUMBER(D192),ISNUMBER(E192)),IF(D192=E192,"yes","no"),"")</f>
        <v/>
      </c>
      <c r="G192" s="7" t="n"/>
    </row>
    <row r="193">
      <c r="A193" s="7" t="n"/>
      <c r="B193" s="7" t="n"/>
      <c r="C193" s="7" t="n"/>
      <c r="D193" s="7" t="n"/>
      <c r="E193" s="7" t="n"/>
      <c r="F193" s="7">
        <f>IF(AND(ISNUMBER(D193),ISNUMBER(E193)),IF(D193=E193,"yes","no"),"")</f>
        <v/>
      </c>
      <c r="G193" s="7" t="n"/>
    </row>
    <row r="194">
      <c r="A194" s="7" t="n"/>
      <c r="B194" s="7" t="n"/>
      <c r="C194" s="7" t="n"/>
      <c r="D194" s="7" t="n"/>
      <c r="E194" s="7" t="n"/>
      <c r="F194" s="7">
        <f>IF(AND(ISNUMBER(D194),ISNUMBER(E194)),IF(D194=E194,"yes","no"),"")</f>
        <v/>
      </c>
      <c r="G194" s="7" t="n"/>
    </row>
    <row r="195">
      <c r="A195" s="7" t="n"/>
      <c r="B195" s="7" t="n"/>
      <c r="C195" s="7" t="n"/>
      <c r="D195" s="7" t="n"/>
      <c r="E195" s="7" t="n"/>
      <c r="F195" s="7">
        <f>IF(AND(ISNUMBER(D195),ISNUMBER(E195)),IF(D195=E195,"yes","no"),"")</f>
        <v/>
      </c>
      <c r="G195" s="7" t="n"/>
    </row>
    <row r="196">
      <c r="A196" s="7" t="n"/>
      <c r="B196" s="7" t="n"/>
      <c r="C196" s="7" t="n"/>
      <c r="D196" s="7" t="n"/>
      <c r="E196" s="7" t="n"/>
      <c r="F196" s="7">
        <f>IF(AND(ISNUMBER(D196),ISNUMBER(E196)),IF(D196=E196,"yes","no"),"")</f>
        <v/>
      </c>
      <c r="G196" s="7" t="n"/>
    </row>
    <row r="197">
      <c r="A197" s="7" t="n"/>
      <c r="B197" s="7" t="n"/>
      <c r="C197" s="7" t="n"/>
      <c r="D197" s="7" t="n"/>
      <c r="E197" s="7" t="n"/>
      <c r="F197" s="7">
        <f>IF(AND(ISNUMBER(D197),ISNUMBER(E197)),IF(D197=E197,"yes","no"),"")</f>
        <v/>
      </c>
      <c r="G197" s="7" t="n"/>
    </row>
    <row r="198">
      <c r="A198" s="7" t="n"/>
      <c r="B198" s="7" t="n"/>
      <c r="C198" s="7" t="n"/>
      <c r="D198" s="7" t="n"/>
      <c r="E198" s="7" t="n"/>
      <c r="F198" s="7">
        <f>IF(AND(ISNUMBER(D198),ISNUMBER(E198)),IF(D198=E198,"yes","no"),"")</f>
        <v/>
      </c>
      <c r="G198" s="7" t="n"/>
    </row>
    <row r="199">
      <c r="A199" s="7" t="n"/>
      <c r="B199" s="7" t="n"/>
      <c r="C199" s="7" t="n"/>
      <c r="D199" s="7" t="n"/>
      <c r="E199" s="7" t="n"/>
      <c r="F199" s="7">
        <f>IF(AND(ISNUMBER(D199),ISNUMBER(E199)),IF(D199=E199,"yes","no"),"")</f>
        <v/>
      </c>
      <c r="G199" s="7" t="n"/>
    </row>
    <row r="200">
      <c r="A200" s="7" t="n"/>
      <c r="B200" s="7" t="n"/>
      <c r="C200" s="7" t="n"/>
      <c r="D200" s="7" t="n"/>
      <c r="E200" s="7" t="n"/>
      <c r="F200" s="7">
        <f>IF(AND(ISNUMBER(D200),ISNUMBER(E200)),IF(D200=E200,"yes","no"),"")</f>
        <v/>
      </c>
      <c r="G200" s="7" t="n"/>
    </row>
    <row r="201">
      <c r="A201" s="7" t="n"/>
      <c r="B201" s="7" t="n"/>
      <c r="C201" s="7" t="n"/>
      <c r="D201" s="7" t="n"/>
      <c r="E201" s="7" t="n"/>
      <c r="F201" s="7">
        <f>IF(AND(ISNUMBER(D201),ISNUMBER(E201)),IF(D201=E201,"yes","no"),"")</f>
        <v/>
      </c>
      <c r="G201" s="7" t="n"/>
    </row>
    <row r="202">
      <c r="A202" s="7" t="n"/>
      <c r="B202" s="7" t="n"/>
      <c r="C202" s="7" t="n"/>
      <c r="D202" s="7" t="n"/>
      <c r="E202" s="7" t="n"/>
      <c r="F202" s="7">
        <f>IF(AND(ISNUMBER(D202),ISNUMBER(E202)),IF(D202=E202,"yes","no"),"")</f>
        <v/>
      </c>
      <c r="G202" s="7" t="n"/>
    </row>
    <row r="203">
      <c r="A203" s="7" t="n"/>
      <c r="B203" s="7" t="n"/>
      <c r="C203" s="7" t="n"/>
      <c r="D203" s="7" t="n"/>
      <c r="E203" s="7" t="n"/>
      <c r="F203" s="7">
        <f>IF(AND(ISNUMBER(D203),ISNUMBER(E203)),IF(D203=E203,"yes","no"),"")</f>
        <v/>
      </c>
      <c r="G203" s="7" t="n"/>
    </row>
    <row r="204">
      <c r="A204" s="7" t="n"/>
      <c r="B204" s="7" t="n"/>
      <c r="C204" s="7" t="n"/>
      <c r="D204" s="7" t="n"/>
      <c r="E204" s="7" t="n"/>
      <c r="F204" s="7">
        <f>IF(AND(ISNUMBER(D204),ISNUMBER(E204)),IF(D204=E204,"yes","no"),"")</f>
        <v/>
      </c>
      <c r="G204" s="7" t="n"/>
    </row>
    <row r="205">
      <c r="A205" s="7" t="n"/>
      <c r="B205" s="7" t="n"/>
      <c r="C205" s="7" t="n"/>
      <c r="D205" s="7" t="n"/>
      <c r="E205" s="7" t="n"/>
      <c r="F205" s="7">
        <f>IF(AND(ISNUMBER(D205),ISNUMBER(E205)),IF(D205=E205,"yes","no"),"")</f>
        <v/>
      </c>
      <c r="G205" s="7" t="n"/>
    </row>
    <row r="206">
      <c r="A206" s="7" t="n"/>
      <c r="B206" s="7" t="n"/>
      <c r="C206" s="7" t="n"/>
      <c r="D206" s="7" t="n"/>
      <c r="E206" s="7" t="n"/>
      <c r="F206" s="7">
        <f>IF(AND(ISNUMBER(D206),ISNUMBER(E206)),IF(D206=E206,"yes","no"),"")</f>
        <v/>
      </c>
      <c r="G206" s="7" t="n"/>
    </row>
    <row r="207">
      <c r="A207" s="7" t="n"/>
      <c r="B207" s="7" t="n"/>
      <c r="C207" s="7" t="n"/>
      <c r="D207" s="7" t="n"/>
      <c r="E207" s="7" t="n"/>
      <c r="F207" s="7">
        <f>IF(AND(ISNUMBER(D207),ISNUMBER(E207)),IF(D207=E207,"yes","no"),"")</f>
        <v/>
      </c>
      <c r="G207" s="7" t="n"/>
    </row>
    <row r="208">
      <c r="A208" s="7" t="n"/>
      <c r="B208" s="7" t="n"/>
      <c r="C208" s="7" t="n"/>
      <c r="D208" s="7" t="n"/>
      <c r="E208" s="7" t="n"/>
      <c r="F208" s="7">
        <f>IF(AND(ISNUMBER(D208),ISNUMBER(E208)),IF(D208=E208,"yes","no"),"")</f>
        <v/>
      </c>
      <c r="G208" s="7" t="n"/>
    </row>
    <row r="209">
      <c r="A209" s="7" t="n"/>
      <c r="B209" s="7" t="n"/>
      <c r="C209" s="7" t="n"/>
      <c r="D209" s="7" t="n"/>
      <c r="E209" s="7" t="n"/>
      <c r="F209" s="7">
        <f>IF(AND(ISNUMBER(D209),ISNUMBER(E209)),IF(D209=E209,"yes","no"),"")</f>
        <v/>
      </c>
      <c r="G209" s="7" t="n"/>
    </row>
    <row r="210">
      <c r="A210" s="7" t="n"/>
      <c r="B210" s="7" t="n"/>
      <c r="C210" s="7" t="n"/>
      <c r="D210" s="7" t="n"/>
      <c r="E210" s="7" t="n"/>
      <c r="F210" s="7">
        <f>IF(AND(ISNUMBER(D210),ISNUMBER(E210)),IF(D210=E210,"yes","no"),"")</f>
        <v/>
      </c>
      <c r="G210" s="7" t="n"/>
    </row>
    <row r="211">
      <c r="A211" s="7" t="n"/>
      <c r="B211" s="7" t="n"/>
      <c r="C211" s="7" t="n"/>
      <c r="D211" s="7" t="n"/>
      <c r="E211" s="7" t="n"/>
      <c r="F211" s="7">
        <f>IF(AND(ISNUMBER(D211),ISNUMBER(E211)),IF(D211=E211,"yes","no"),"")</f>
        <v/>
      </c>
      <c r="G211" s="7" t="n"/>
    </row>
    <row r="212">
      <c r="A212" s="7" t="n"/>
      <c r="B212" s="7" t="n"/>
      <c r="C212" s="7" t="n"/>
      <c r="D212" s="7" t="n"/>
      <c r="E212" s="7" t="n"/>
      <c r="F212" s="7">
        <f>IF(AND(ISNUMBER(D212),ISNUMBER(E212)),IF(D212=E212,"yes","no"),"")</f>
        <v/>
      </c>
      <c r="G212" s="7" t="n"/>
    </row>
    <row r="213">
      <c r="A213" s="7" t="n"/>
      <c r="B213" s="7" t="n"/>
      <c r="C213" s="7" t="n"/>
      <c r="D213" s="7" t="n"/>
      <c r="E213" s="7" t="n"/>
      <c r="F213" s="7">
        <f>IF(AND(ISNUMBER(D213),ISNUMBER(E213)),IF(D213=E213,"yes","no"),"")</f>
        <v/>
      </c>
      <c r="G213" s="7" t="n"/>
    </row>
    <row r="214">
      <c r="A214" s="7" t="n"/>
      <c r="B214" s="7" t="n"/>
      <c r="C214" s="7" t="n"/>
      <c r="D214" s="7" t="n"/>
      <c r="E214" s="7" t="n"/>
      <c r="F214" s="7">
        <f>IF(AND(ISNUMBER(D214),ISNUMBER(E214)),IF(D214=E214,"yes","no"),"")</f>
        <v/>
      </c>
      <c r="G214" s="7" t="n"/>
    </row>
    <row r="215">
      <c r="A215" s="7" t="n"/>
      <c r="B215" s="7" t="n"/>
      <c r="C215" s="7" t="n"/>
      <c r="D215" s="7" t="n"/>
      <c r="E215" s="7" t="n"/>
      <c r="F215" s="7">
        <f>IF(AND(ISNUMBER(D215),ISNUMBER(E215)),IF(D215=E215,"yes","no"),"")</f>
        <v/>
      </c>
      <c r="G215" s="7" t="n"/>
    </row>
    <row r="216">
      <c r="A216" s="7" t="n"/>
      <c r="B216" s="7" t="n"/>
      <c r="C216" s="7" t="n"/>
      <c r="D216" s="7" t="n"/>
      <c r="E216" s="7" t="n"/>
      <c r="F216" s="7">
        <f>IF(AND(ISNUMBER(D216),ISNUMBER(E216)),IF(D216=E216,"yes","no"),"")</f>
        <v/>
      </c>
      <c r="G216" s="7" t="n"/>
    </row>
    <row r="217">
      <c r="A217" s="7" t="n"/>
      <c r="B217" s="7" t="n"/>
      <c r="C217" s="7" t="n"/>
      <c r="D217" s="7" t="n"/>
      <c r="E217" s="7" t="n"/>
      <c r="F217" s="7">
        <f>IF(AND(ISNUMBER(D217),ISNUMBER(E217)),IF(D217=E217,"yes","no"),"")</f>
        <v/>
      </c>
      <c r="G217" s="7" t="n"/>
    </row>
    <row r="218">
      <c r="A218" s="7" t="n"/>
      <c r="B218" s="7" t="n"/>
      <c r="C218" s="7" t="n"/>
      <c r="D218" s="7" t="n"/>
      <c r="E218" s="7" t="n"/>
      <c r="F218" s="7">
        <f>IF(AND(ISNUMBER(D218),ISNUMBER(E218)),IF(D218=E218,"yes","no"),"")</f>
        <v/>
      </c>
      <c r="G218" s="7" t="n"/>
    </row>
    <row r="219">
      <c r="A219" s="7" t="n"/>
      <c r="B219" s="7" t="n"/>
      <c r="C219" s="7" t="n"/>
      <c r="D219" s="7" t="n"/>
      <c r="E219" s="7" t="n"/>
      <c r="F219" s="7">
        <f>IF(AND(ISNUMBER(D219),ISNUMBER(E219)),IF(D219=E219,"yes","no"),"")</f>
        <v/>
      </c>
      <c r="G219" s="7" t="n"/>
    </row>
    <row r="220">
      <c r="A220" s="7" t="n"/>
      <c r="B220" s="7" t="n"/>
      <c r="C220" s="7" t="n"/>
      <c r="D220" s="7" t="n"/>
      <c r="E220" s="7" t="n"/>
      <c r="F220" s="7">
        <f>IF(AND(ISNUMBER(D220),ISNUMBER(E220)),IF(D220=E220,"yes","no"),"")</f>
        <v/>
      </c>
      <c r="G220" s="7" t="n"/>
    </row>
    <row r="221">
      <c r="A221" s="7" t="n"/>
      <c r="B221" s="7" t="n"/>
      <c r="C221" s="7" t="n"/>
      <c r="D221" s="7" t="n"/>
      <c r="E221" s="7" t="n"/>
      <c r="F221" s="7">
        <f>IF(AND(ISNUMBER(D221),ISNUMBER(E221)),IF(D221=E221,"yes","no"),"")</f>
        <v/>
      </c>
      <c r="G221" s="7" t="n"/>
    </row>
    <row r="222">
      <c r="A222" s="7" t="n"/>
      <c r="B222" s="7" t="n"/>
      <c r="C222" s="7" t="n"/>
      <c r="D222" s="7" t="n"/>
      <c r="E222" s="7" t="n"/>
      <c r="F222" s="7">
        <f>IF(AND(ISNUMBER(D222),ISNUMBER(E222)),IF(D222=E222,"yes","no"),"")</f>
        <v/>
      </c>
      <c r="G222" s="7" t="n"/>
    </row>
    <row r="223">
      <c r="A223" s="7" t="n"/>
      <c r="B223" s="7" t="n"/>
      <c r="C223" s="7" t="n"/>
      <c r="D223" s="7" t="n"/>
      <c r="E223" s="7" t="n"/>
      <c r="F223" s="7">
        <f>IF(AND(ISNUMBER(D223),ISNUMBER(E223)),IF(D223=E223,"yes","no"),"")</f>
        <v/>
      </c>
      <c r="G223" s="7" t="n"/>
    </row>
    <row r="224">
      <c r="A224" s="7" t="n"/>
      <c r="B224" s="7" t="n"/>
      <c r="C224" s="7" t="n"/>
      <c r="D224" s="7" t="n"/>
      <c r="E224" s="7" t="n"/>
      <c r="F224" s="7">
        <f>IF(AND(ISNUMBER(D224),ISNUMBER(E224)),IF(D224=E224,"yes","no"),"")</f>
        <v/>
      </c>
      <c r="G224" s="7" t="n"/>
    </row>
    <row r="225">
      <c r="A225" s="7" t="n"/>
      <c r="B225" s="7" t="n"/>
      <c r="C225" s="7" t="n"/>
      <c r="D225" s="7" t="n"/>
      <c r="E225" s="7" t="n"/>
      <c r="F225" s="7">
        <f>IF(AND(ISNUMBER(D225),ISNUMBER(E225)),IF(D225=E225,"yes","no"),"")</f>
        <v/>
      </c>
      <c r="G225" s="7" t="n"/>
    </row>
    <row r="226">
      <c r="A226" s="7" t="n"/>
      <c r="B226" s="7" t="n"/>
      <c r="C226" s="7" t="n"/>
      <c r="D226" s="7" t="n"/>
      <c r="E226" s="7" t="n"/>
      <c r="F226" s="7">
        <f>IF(AND(ISNUMBER(D226),ISNUMBER(E226)),IF(D226=E226,"yes","no"),"")</f>
        <v/>
      </c>
      <c r="G226" s="7" t="n"/>
    </row>
    <row r="227">
      <c r="A227" s="7" t="n"/>
      <c r="B227" s="7" t="n"/>
      <c r="C227" s="7" t="n"/>
      <c r="D227" s="7" t="n"/>
      <c r="E227" s="7" t="n"/>
      <c r="F227" s="7">
        <f>IF(AND(ISNUMBER(D227),ISNUMBER(E227)),IF(D227=E227,"yes","no"),"")</f>
        <v/>
      </c>
      <c r="G227" s="7" t="n"/>
    </row>
    <row r="228">
      <c r="A228" s="7" t="n"/>
      <c r="B228" s="7" t="n"/>
      <c r="C228" s="7" t="n"/>
      <c r="D228" s="7" t="n"/>
      <c r="E228" s="7" t="n"/>
      <c r="F228" s="7">
        <f>IF(AND(ISNUMBER(D228),ISNUMBER(E228)),IF(D228=E228,"yes","no"),"")</f>
        <v/>
      </c>
      <c r="G228" s="7" t="n"/>
    </row>
    <row r="229">
      <c r="A229" s="7" t="n"/>
      <c r="B229" s="7" t="n"/>
      <c r="C229" s="7" t="n"/>
      <c r="D229" s="7" t="n"/>
      <c r="E229" s="7" t="n"/>
      <c r="F229" s="7">
        <f>IF(AND(ISNUMBER(D229),ISNUMBER(E229)),IF(D229=E229,"yes","no"),"")</f>
        <v/>
      </c>
      <c r="G229" s="7" t="n"/>
    </row>
    <row r="230">
      <c r="A230" s="7" t="n"/>
      <c r="B230" s="7" t="n"/>
      <c r="C230" s="7" t="n"/>
      <c r="D230" s="7" t="n"/>
      <c r="E230" s="7" t="n"/>
      <c r="F230" s="7">
        <f>IF(AND(ISNUMBER(D230),ISNUMBER(E230)),IF(D230=E230,"yes","no"),"")</f>
        <v/>
      </c>
      <c r="G230" s="7" t="n"/>
    </row>
    <row r="231">
      <c r="A231" s="7" t="n"/>
      <c r="B231" s="7" t="n"/>
      <c r="C231" s="7" t="n"/>
      <c r="D231" s="7" t="n"/>
      <c r="E231" s="7" t="n"/>
      <c r="F231" s="7">
        <f>IF(AND(ISNUMBER(D231),ISNUMBER(E231)),IF(D231=E231,"yes","no"),"")</f>
        <v/>
      </c>
      <c r="G231" s="7" t="n"/>
    </row>
    <row r="232">
      <c r="A232" s="7" t="n"/>
      <c r="B232" s="7" t="n"/>
      <c r="C232" s="7" t="n"/>
      <c r="D232" s="7" t="n"/>
      <c r="E232" s="7" t="n"/>
      <c r="F232" s="7">
        <f>IF(AND(ISNUMBER(D232),ISNUMBER(E232)),IF(D232=E232,"yes","no"),"")</f>
        <v/>
      </c>
      <c r="G232" s="7" t="n"/>
    </row>
    <row r="233">
      <c r="A233" s="7" t="n"/>
      <c r="B233" s="7" t="n"/>
      <c r="C233" s="7" t="n"/>
      <c r="D233" s="7" t="n"/>
      <c r="E233" s="7" t="n"/>
      <c r="F233" s="7">
        <f>IF(AND(ISNUMBER(D233),ISNUMBER(E233)),IF(D233=E233,"yes","no"),"")</f>
        <v/>
      </c>
      <c r="G233" s="7" t="n"/>
    </row>
    <row r="234">
      <c r="A234" s="7" t="n"/>
      <c r="B234" s="7" t="n"/>
      <c r="C234" s="7" t="n"/>
      <c r="D234" s="7" t="n"/>
      <c r="E234" s="7" t="n"/>
      <c r="F234" s="7">
        <f>IF(AND(ISNUMBER(D234),ISNUMBER(E234)),IF(D234=E234,"yes","no"),"")</f>
        <v/>
      </c>
      <c r="G234" s="7" t="n"/>
    </row>
    <row r="235">
      <c r="A235" s="7" t="n"/>
      <c r="B235" s="7" t="n"/>
      <c r="C235" s="7" t="n"/>
      <c r="D235" s="7" t="n"/>
      <c r="E235" s="7" t="n"/>
      <c r="F235" s="7">
        <f>IF(AND(ISNUMBER(D235),ISNUMBER(E235)),IF(D235=E235,"yes","no"),"")</f>
        <v/>
      </c>
      <c r="G235" s="7" t="n"/>
    </row>
    <row r="236">
      <c r="A236" s="7" t="n"/>
      <c r="B236" s="7" t="n"/>
      <c r="C236" s="7" t="n"/>
      <c r="D236" s="7" t="n"/>
      <c r="E236" s="7" t="n"/>
      <c r="F236" s="7">
        <f>IF(AND(ISNUMBER(D236),ISNUMBER(E236)),IF(D236=E236,"yes","no"),"")</f>
        <v/>
      </c>
      <c r="G236" s="7" t="n"/>
    </row>
    <row r="237">
      <c r="A237" s="7" t="n"/>
      <c r="B237" s="7" t="n"/>
      <c r="C237" s="7" t="n"/>
      <c r="D237" s="7" t="n"/>
      <c r="E237" s="7" t="n"/>
      <c r="F237" s="7">
        <f>IF(AND(ISNUMBER(D237),ISNUMBER(E237)),IF(D237=E237,"yes","no"),"")</f>
        <v/>
      </c>
      <c r="G237" s="7" t="n"/>
    </row>
    <row r="238">
      <c r="A238" s="7" t="n"/>
      <c r="B238" s="7" t="n"/>
      <c r="C238" s="7" t="n"/>
      <c r="D238" s="7" t="n"/>
      <c r="E238" s="7" t="n"/>
      <c r="F238" s="7">
        <f>IF(AND(ISNUMBER(D238),ISNUMBER(E238)),IF(D238=E238,"yes","no"),"")</f>
        <v/>
      </c>
      <c r="G238" s="7" t="n"/>
    </row>
    <row r="239">
      <c r="A239" s="7" t="n"/>
      <c r="B239" s="7" t="n"/>
      <c r="C239" s="7" t="n"/>
      <c r="D239" s="7" t="n"/>
      <c r="E239" s="7" t="n"/>
      <c r="F239" s="7">
        <f>IF(AND(ISNUMBER(D239),ISNUMBER(E239)),IF(D239=E239,"yes","no"),"")</f>
        <v/>
      </c>
      <c r="G239" s="7" t="n"/>
    </row>
    <row r="240">
      <c r="A240" s="7" t="n"/>
      <c r="B240" s="7" t="n"/>
      <c r="C240" s="7" t="n"/>
      <c r="D240" s="7" t="n"/>
      <c r="E240" s="7" t="n"/>
      <c r="F240" s="7">
        <f>IF(AND(ISNUMBER(D240),ISNUMBER(E240)),IF(D240=E240,"yes","no"),"")</f>
        <v/>
      </c>
      <c r="G240" s="7" t="n"/>
    </row>
    <row r="241">
      <c r="A241" s="7" t="n"/>
      <c r="B241" s="7" t="n"/>
      <c r="C241" s="7" t="n"/>
      <c r="D241" s="7" t="n"/>
      <c r="E241" s="7" t="n"/>
      <c r="F241" s="7">
        <f>IF(AND(ISNUMBER(D241),ISNUMBER(E241)),IF(D241=E241,"yes","no"),"")</f>
        <v/>
      </c>
      <c r="G241" s="7" t="n"/>
    </row>
    <row r="242">
      <c r="A242" s="7" t="n"/>
      <c r="B242" s="7" t="n"/>
      <c r="C242" s="7" t="n"/>
      <c r="D242" s="7" t="n"/>
      <c r="E242" s="7" t="n"/>
      <c r="F242" s="7">
        <f>IF(AND(ISNUMBER(D242),ISNUMBER(E242)),IF(D242=E242,"yes","no"),"")</f>
        <v/>
      </c>
      <c r="G242" s="7" t="n"/>
    </row>
    <row r="243">
      <c r="A243" s="7" t="n"/>
      <c r="B243" s="7" t="n"/>
      <c r="C243" s="7" t="n"/>
      <c r="D243" s="7" t="n"/>
      <c r="E243" s="7" t="n"/>
      <c r="F243" s="7">
        <f>IF(AND(ISNUMBER(D243),ISNUMBER(E243)),IF(D243=E243,"yes","no"),"")</f>
        <v/>
      </c>
      <c r="G243" s="7" t="n"/>
    </row>
    <row r="244">
      <c r="A244" s="7" t="n"/>
      <c r="B244" s="7" t="n"/>
      <c r="C244" s="7" t="n"/>
      <c r="D244" s="7" t="n"/>
      <c r="E244" s="7" t="n"/>
      <c r="F244" s="7">
        <f>IF(AND(ISNUMBER(D244),ISNUMBER(E244)),IF(D244=E244,"yes","no"),"")</f>
        <v/>
      </c>
      <c r="G244" s="7" t="n"/>
    </row>
    <row r="245">
      <c r="A245" s="7" t="n"/>
      <c r="B245" s="7" t="n"/>
      <c r="C245" s="7" t="n"/>
      <c r="D245" s="7" t="n"/>
      <c r="E245" s="7" t="n"/>
      <c r="F245" s="7">
        <f>IF(AND(ISNUMBER(D245),ISNUMBER(E245)),IF(D245=E245,"yes","no"),"")</f>
        <v/>
      </c>
      <c r="G245" s="7" t="n"/>
    </row>
    <row r="246">
      <c r="A246" s="7" t="n"/>
      <c r="B246" s="7" t="n"/>
      <c r="C246" s="7" t="n"/>
      <c r="D246" s="7" t="n"/>
      <c r="E246" s="7" t="n"/>
      <c r="F246" s="7">
        <f>IF(AND(ISNUMBER(D246),ISNUMBER(E246)),IF(D246=E246,"yes","no"),"")</f>
        <v/>
      </c>
      <c r="G246" s="7" t="n"/>
    </row>
    <row r="247">
      <c r="A247" s="7" t="n"/>
      <c r="B247" s="7" t="n"/>
      <c r="C247" s="7" t="n"/>
      <c r="D247" s="7" t="n"/>
      <c r="E247" s="7" t="n"/>
      <c r="F247" s="7">
        <f>IF(AND(ISNUMBER(D247),ISNUMBER(E247)),IF(D247=E247,"yes","no"),"")</f>
        <v/>
      </c>
      <c r="G247" s="7" t="n"/>
    </row>
    <row r="248">
      <c r="A248" s="7" t="n"/>
      <c r="B248" s="7" t="n"/>
      <c r="C248" s="7" t="n"/>
      <c r="D248" s="7" t="n"/>
      <c r="E248" s="7" t="n"/>
      <c r="F248" s="7">
        <f>IF(AND(ISNUMBER(D248),ISNUMBER(E248)),IF(D248=E248,"yes","no"),"")</f>
        <v/>
      </c>
      <c r="G248" s="7" t="n"/>
    </row>
    <row r="249">
      <c r="A249" s="7" t="n"/>
      <c r="B249" s="7" t="n"/>
      <c r="C249" s="7" t="n"/>
      <c r="D249" s="7" t="n"/>
      <c r="E249" s="7" t="n"/>
      <c r="F249" s="7">
        <f>IF(AND(ISNUMBER(D249),ISNUMBER(E249)),IF(D249=E249,"yes","no"),"")</f>
        <v/>
      </c>
      <c r="G249" s="7" t="n"/>
    </row>
    <row r="250">
      <c r="A250" s="7" t="n"/>
      <c r="B250" s="7" t="n"/>
      <c r="C250" s="7" t="n"/>
      <c r="D250" s="7" t="n"/>
      <c r="E250" s="7" t="n"/>
      <c r="F250" s="7">
        <f>IF(AND(ISNUMBER(D250),ISNUMBER(E250)),IF(D250=E250,"yes","no"),"")</f>
        <v/>
      </c>
      <c r="G250" s="7" t="n"/>
    </row>
    <row r="251">
      <c r="A251" s="7" t="n"/>
      <c r="B251" s="7" t="n"/>
      <c r="C251" s="7" t="n"/>
      <c r="D251" s="7" t="n"/>
      <c r="E251" s="7" t="n"/>
      <c r="F251" s="7">
        <f>IF(AND(ISNUMBER(D251),ISNUMBER(E251)),IF(D251=E251,"yes","no"),"")</f>
        <v/>
      </c>
      <c r="G251" s="7" t="n"/>
    </row>
    <row r="252">
      <c r="A252" s="7" t="n"/>
      <c r="B252" s="7" t="n"/>
      <c r="C252" s="7" t="n"/>
      <c r="D252" s="7" t="n"/>
      <c r="E252" s="7" t="n"/>
      <c r="F252" s="7">
        <f>IF(AND(ISNUMBER(D252),ISNUMBER(E252)),IF(D252=E252,"yes","no"),"")</f>
        <v/>
      </c>
      <c r="G252" s="7" t="n"/>
    </row>
    <row r="253">
      <c r="A253" s="7" t="n"/>
      <c r="B253" s="7" t="n"/>
      <c r="C253" s="7" t="n"/>
      <c r="D253" s="7" t="n"/>
      <c r="E253" s="7" t="n"/>
      <c r="F253" s="7">
        <f>IF(AND(ISNUMBER(D253),ISNUMBER(E253)),IF(D253=E253,"yes","no"),"")</f>
        <v/>
      </c>
      <c r="G253" s="7" t="n"/>
    </row>
    <row r="254">
      <c r="A254" s="7" t="n"/>
      <c r="B254" s="7" t="n"/>
      <c r="C254" s="7" t="n"/>
      <c r="D254" s="7" t="n"/>
      <c r="E254" s="7" t="n"/>
      <c r="F254" s="7">
        <f>IF(AND(ISNUMBER(D254),ISNUMBER(E254)),IF(D254=E254,"yes","no"),"")</f>
        <v/>
      </c>
      <c r="G254" s="7" t="n"/>
    </row>
    <row r="255">
      <c r="A255" s="7" t="n"/>
      <c r="B255" s="7" t="n"/>
      <c r="C255" s="7" t="n"/>
      <c r="D255" s="7" t="n"/>
      <c r="E255" s="7" t="n"/>
      <c r="F255" s="7">
        <f>IF(AND(ISNUMBER(D255),ISNUMBER(E255)),IF(D255=E255,"yes","no"),"")</f>
        <v/>
      </c>
      <c r="G255" s="7" t="n"/>
    </row>
    <row r="256">
      <c r="A256" s="7" t="n"/>
      <c r="B256" s="7" t="n"/>
      <c r="C256" s="7" t="n"/>
      <c r="D256" s="7" t="n"/>
      <c r="E256" s="7" t="n"/>
      <c r="F256" s="7">
        <f>IF(AND(ISNUMBER(D256),ISNUMBER(E256)),IF(D256=E256,"yes","no"),"")</f>
        <v/>
      </c>
      <c r="G256" s="7" t="n"/>
    </row>
    <row r="257">
      <c r="A257" s="7" t="n"/>
      <c r="B257" s="7" t="n"/>
      <c r="C257" s="7" t="n"/>
      <c r="D257" s="7" t="n"/>
      <c r="E257" s="7" t="n"/>
      <c r="F257" s="7">
        <f>IF(AND(ISNUMBER(D257),ISNUMBER(E257)),IF(D257=E257,"yes","no"),"")</f>
        <v/>
      </c>
      <c r="G257" s="7" t="n"/>
    </row>
    <row r="258">
      <c r="A258" s="7" t="n"/>
      <c r="B258" s="7" t="n"/>
      <c r="C258" s="7" t="n"/>
      <c r="D258" s="7" t="n"/>
      <c r="E258" s="7" t="n"/>
      <c r="F258" s="7">
        <f>IF(AND(ISNUMBER(D258),ISNUMBER(E258)),IF(D258=E258,"yes","no"),"")</f>
        <v/>
      </c>
      <c r="G258" s="7" t="n"/>
    </row>
    <row r="259">
      <c r="A259" s="7" t="n"/>
      <c r="B259" s="7" t="n"/>
      <c r="C259" s="7" t="n"/>
      <c r="D259" s="7" t="n"/>
      <c r="E259" s="7" t="n"/>
      <c r="F259" s="7">
        <f>IF(AND(ISNUMBER(D259),ISNUMBER(E259)),IF(D259=E259,"yes","no"),"")</f>
        <v/>
      </c>
      <c r="G259" s="7" t="n"/>
    </row>
    <row r="260">
      <c r="A260" s="7" t="n"/>
      <c r="B260" s="7" t="n"/>
      <c r="C260" s="7" t="n"/>
      <c r="D260" s="7" t="n"/>
      <c r="E260" s="7" t="n"/>
      <c r="F260" s="7">
        <f>IF(AND(ISNUMBER(D260),ISNUMBER(E260)),IF(D260=E260,"yes","no"),"")</f>
        <v/>
      </c>
      <c r="G260" s="7" t="n"/>
    </row>
    <row r="261">
      <c r="A261" s="7" t="n"/>
      <c r="B261" s="7" t="n"/>
      <c r="C261" s="7" t="n"/>
      <c r="D261" s="7" t="n"/>
      <c r="E261" s="7" t="n"/>
      <c r="F261" s="7">
        <f>IF(AND(ISNUMBER(D261),ISNUMBER(E261)),IF(D261=E261,"yes","no"),"")</f>
        <v/>
      </c>
      <c r="G261" s="7" t="n"/>
    </row>
    <row r="262">
      <c r="A262" s="7" t="n"/>
      <c r="B262" s="7" t="n"/>
      <c r="C262" s="7" t="n"/>
      <c r="D262" s="7" t="n"/>
      <c r="E262" s="7" t="n"/>
      <c r="F262" s="7">
        <f>IF(AND(ISNUMBER(D262),ISNUMBER(E262)),IF(D262=E262,"yes","no"),"")</f>
        <v/>
      </c>
      <c r="G262" s="7" t="n"/>
    </row>
    <row r="263">
      <c r="A263" s="7" t="n"/>
      <c r="B263" s="7" t="n"/>
      <c r="C263" s="7" t="n"/>
      <c r="D263" s="7" t="n"/>
      <c r="E263" s="7" t="n"/>
      <c r="F263" s="7">
        <f>IF(AND(ISNUMBER(D263),ISNUMBER(E263)),IF(D263=E263,"yes","no"),"")</f>
        <v/>
      </c>
      <c r="G263" s="7" t="n"/>
    </row>
    <row r="264">
      <c r="A264" s="7" t="n"/>
      <c r="B264" s="7" t="n"/>
      <c r="C264" s="7" t="n"/>
      <c r="D264" s="7" t="n"/>
      <c r="E264" s="7" t="n"/>
      <c r="F264" s="7">
        <f>IF(AND(ISNUMBER(D264),ISNUMBER(E264)),IF(D264=E264,"yes","no"),"")</f>
        <v/>
      </c>
      <c r="G264" s="7" t="n"/>
    </row>
    <row r="265">
      <c r="A265" s="7" t="n"/>
      <c r="B265" s="7" t="n"/>
      <c r="C265" s="7" t="n"/>
      <c r="D265" s="7" t="n"/>
      <c r="E265" s="7" t="n"/>
      <c r="F265" s="7">
        <f>IF(AND(ISNUMBER(D265),ISNUMBER(E265)),IF(D265=E265,"yes","no"),"")</f>
        <v/>
      </c>
      <c r="G265" s="7" t="n"/>
    </row>
    <row r="266">
      <c r="A266" s="7" t="n"/>
      <c r="B266" s="7" t="n"/>
      <c r="C266" s="7" t="n"/>
      <c r="D266" s="7" t="n"/>
      <c r="E266" s="7" t="n"/>
      <c r="F266" s="7">
        <f>IF(AND(ISNUMBER(D266),ISNUMBER(E266)),IF(D266=E266,"yes","no"),"")</f>
        <v/>
      </c>
      <c r="G266" s="7" t="n"/>
    </row>
    <row r="267">
      <c r="A267" s="7" t="n"/>
      <c r="B267" s="7" t="n"/>
      <c r="C267" s="7" t="n"/>
      <c r="D267" s="7" t="n"/>
      <c r="E267" s="7" t="n"/>
      <c r="F267" s="7">
        <f>IF(AND(ISNUMBER(D267),ISNUMBER(E267)),IF(D267=E267,"yes","no"),"")</f>
        <v/>
      </c>
      <c r="G267" s="7" t="n"/>
    </row>
    <row r="268">
      <c r="A268" s="7" t="n"/>
      <c r="B268" s="7" t="n"/>
      <c r="C268" s="7" t="n"/>
      <c r="D268" s="7" t="n"/>
      <c r="E268" s="7" t="n"/>
      <c r="F268" s="7">
        <f>IF(AND(ISNUMBER(D268),ISNUMBER(E268)),IF(D268=E268,"yes","no"),"")</f>
        <v/>
      </c>
      <c r="G268" s="7" t="n"/>
    </row>
    <row r="269">
      <c r="A269" s="7" t="n"/>
      <c r="B269" s="7" t="n"/>
      <c r="C269" s="7" t="n"/>
      <c r="D269" s="7" t="n"/>
      <c r="E269" s="7" t="n"/>
      <c r="F269" s="7">
        <f>IF(AND(ISNUMBER(D269),ISNUMBER(E269)),IF(D269=E269,"yes","no"),"")</f>
        <v/>
      </c>
      <c r="G269" s="7" t="n"/>
    </row>
    <row r="270">
      <c r="A270" s="7" t="n"/>
      <c r="B270" s="7" t="n"/>
      <c r="C270" s="7" t="n"/>
      <c r="D270" s="7" t="n"/>
      <c r="E270" s="7" t="n"/>
      <c r="F270" s="7">
        <f>IF(AND(ISNUMBER(D270),ISNUMBER(E270)),IF(D270=E270,"yes","no"),"")</f>
        <v/>
      </c>
      <c r="G270" s="7" t="n"/>
    </row>
    <row r="271">
      <c r="A271" s="7" t="n"/>
      <c r="B271" s="7" t="n"/>
      <c r="C271" s="7" t="n"/>
      <c r="D271" s="7" t="n"/>
      <c r="E271" s="7" t="n"/>
      <c r="F271" s="7">
        <f>IF(AND(ISNUMBER(D271),ISNUMBER(E271)),IF(D271=E271,"yes","no"),"")</f>
        <v/>
      </c>
      <c r="G271" s="7" t="n"/>
    </row>
    <row r="272">
      <c r="A272" s="7" t="n"/>
      <c r="B272" s="7" t="n"/>
      <c r="C272" s="7" t="n"/>
      <c r="D272" s="7" t="n"/>
      <c r="E272" s="7" t="n"/>
      <c r="F272" s="7">
        <f>IF(AND(ISNUMBER(D272),ISNUMBER(E272)),IF(D272=E272,"yes","no"),"")</f>
        <v/>
      </c>
      <c r="G272" s="7" t="n"/>
    </row>
    <row r="273">
      <c r="A273" s="7" t="n"/>
      <c r="B273" s="7" t="n"/>
      <c r="C273" s="7" t="n"/>
      <c r="D273" s="7" t="n"/>
      <c r="E273" s="7" t="n"/>
      <c r="F273" s="7">
        <f>IF(AND(ISNUMBER(D273),ISNUMBER(E273)),IF(D273=E273,"yes","no"),"")</f>
        <v/>
      </c>
      <c r="G273" s="7" t="n"/>
    </row>
    <row r="274">
      <c r="A274" s="7" t="n"/>
      <c r="B274" s="7" t="n"/>
      <c r="C274" s="7" t="n"/>
      <c r="D274" s="7" t="n"/>
      <c r="E274" s="7" t="n"/>
      <c r="F274" s="7">
        <f>IF(AND(ISNUMBER(D274),ISNUMBER(E274)),IF(D274=E274,"yes","no"),"")</f>
        <v/>
      </c>
      <c r="G274" s="7" t="n"/>
    </row>
    <row r="275">
      <c r="A275" s="7" t="n"/>
      <c r="B275" s="7" t="n"/>
      <c r="C275" s="7" t="n"/>
      <c r="D275" s="7" t="n"/>
      <c r="E275" s="7" t="n"/>
      <c r="F275" s="7">
        <f>IF(AND(ISNUMBER(D275),ISNUMBER(E275)),IF(D275=E275,"yes","no"),"")</f>
        <v/>
      </c>
      <c r="G275" s="7" t="n"/>
    </row>
    <row r="276">
      <c r="A276" s="7" t="n"/>
      <c r="B276" s="7" t="n"/>
      <c r="C276" s="7" t="n"/>
      <c r="D276" s="7" t="n"/>
      <c r="E276" s="7" t="n"/>
      <c r="F276" s="7">
        <f>IF(AND(ISNUMBER(D276),ISNUMBER(E276)),IF(D276=E276,"yes","no"),"")</f>
        <v/>
      </c>
      <c r="G276" s="7" t="n"/>
    </row>
    <row r="277">
      <c r="A277" s="7" t="n"/>
      <c r="B277" s="7" t="n"/>
      <c r="C277" s="7" t="n"/>
      <c r="D277" s="7" t="n"/>
      <c r="E277" s="7" t="n"/>
      <c r="F277" s="7">
        <f>IF(AND(ISNUMBER(D277),ISNUMBER(E277)),IF(D277=E277,"yes","no"),"")</f>
        <v/>
      </c>
      <c r="G277" s="7" t="n"/>
    </row>
    <row r="278">
      <c r="A278" s="7" t="n"/>
      <c r="B278" s="7" t="n"/>
      <c r="C278" s="7" t="n"/>
      <c r="D278" s="7" t="n"/>
      <c r="E278" s="7" t="n"/>
      <c r="F278" s="7">
        <f>IF(AND(ISNUMBER(D278),ISNUMBER(E278)),IF(D278=E278,"yes","no"),"")</f>
        <v/>
      </c>
      <c r="G278" s="7" t="n"/>
    </row>
    <row r="279">
      <c r="A279" s="7" t="n"/>
      <c r="B279" s="7" t="n"/>
      <c r="C279" s="7" t="n"/>
      <c r="D279" s="7" t="n"/>
      <c r="E279" s="7" t="n"/>
      <c r="F279" s="7">
        <f>IF(AND(ISNUMBER(D279),ISNUMBER(E279)),IF(D279=E279,"yes","no"),"")</f>
        <v/>
      </c>
      <c r="G279" s="7" t="n"/>
    </row>
    <row r="280">
      <c r="A280" s="7" t="n"/>
      <c r="B280" s="7" t="n"/>
      <c r="C280" s="7" t="n"/>
      <c r="D280" s="7" t="n"/>
      <c r="E280" s="7" t="n"/>
      <c r="F280" s="7">
        <f>IF(AND(ISNUMBER(D280),ISNUMBER(E280)),IF(D280=E280,"yes","no"),"")</f>
        <v/>
      </c>
      <c r="G280" s="7" t="n"/>
    </row>
    <row r="281">
      <c r="A281" s="7" t="n"/>
      <c r="B281" s="7" t="n"/>
      <c r="C281" s="7" t="n"/>
      <c r="D281" s="7" t="n"/>
      <c r="E281" s="7" t="n"/>
      <c r="F281" s="7">
        <f>IF(AND(ISNUMBER(D281),ISNUMBER(E281)),IF(D281=E281,"yes","no"),"")</f>
        <v/>
      </c>
      <c r="G281" s="7" t="n"/>
    </row>
    <row r="282">
      <c r="A282" s="7" t="n"/>
      <c r="B282" s="7" t="n"/>
      <c r="C282" s="7" t="n"/>
      <c r="D282" s="7" t="n"/>
      <c r="E282" s="7" t="n"/>
      <c r="F282" s="7">
        <f>IF(AND(ISNUMBER(D282),ISNUMBER(E282)),IF(D282=E282,"yes","no"),"")</f>
        <v/>
      </c>
      <c r="G282" s="7" t="n"/>
    </row>
    <row r="283">
      <c r="A283" s="7" t="n"/>
      <c r="B283" s="7" t="n"/>
      <c r="C283" s="7" t="n"/>
      <c r="D283" s="7" t="n"/>
      <c r="E283" s="7" t="n"/>
      <c r="F283" s="7">
        <f>IF(AND(ISNUMBER(D283),ISNUMBER(E283)),IF(D283=E283,"yes","no"),"")</f>
        <v/>
      </c>
      <c r="G283" s="7" t="n"/>
    </row>
    <row r="284">
      <c r="A284" s="7" t="n"/>
      <c r="B284" s="7" t="n"/>
      <c r="C284" s="7" t="n"/>
      <c r="D284" s="7" t="n"/>
      <c r="E284" s="7" t="n"/>
      <c r="F284" s="7">
        <f>IF(AND(ISNUMBER(D284),ISNUMBER(E284)),IF(D284=E284,"yes","no"),"")</f>
        <v/>
      </c>
      <c r="G284" s="7" t="n"/>
    </row>
    <row r="285">
      <c r="A285" s="7" t="n"/>
      <c r="B285" s="7" t="n"/>
      <c r="C285" s="7" t="n"/>
      <c r="D285" s="7" t="n"/>
      <c r="E285" s="7" t="n"/>
      <c r="F285" s="7">
        <f>IF(AND(ISNUMBER(D285),ISNUMBER(E285)),IF(D285=E285,"yes","no"),"")</f>
        <v/>
      </c>
      <c r="G285" s="7" t="n"/>
    </row>
    <row r="286">
      <c r="A286" s="7" t="n"/>
      <c r="B286" s="7" t="n"/>
      <c r="C286" s="7" t="n"/>
      <c r="D286" s="7" t="n"/>
      <c r="E286" s="7" t="n"/>
      <c r="F286" s="7">
        <f>IF(AND(ISNUMBER(D286),ISNUMBER(E286)),IF(D286=E286,"yes","no"),"")</f>
        <v/>
      </c>
      <c r="G286" s="7" t="n"/>
    </row>
    <row r="287">
      <c r="A287" s="7" t="n"/>
      <c r="B287" s="7" t="n"/>
      <c r="C287" s="7" t="n"/>
      <c r="D287" s="7" t="n"/>
      <c r="E287" s="7" t="n"/>
      <c r="F287" s="7">
        <f>IF(AND(ISNUMBER(D287),ISNUMBER(E287)),IF(D287=E287,"yes","no"),"")</f>
        <v/>
      </c>
      <c r="G287" s="7" t="n"/>
    </row>
    <row r="288">
      <c r="A288" s="7" t="n"/>
      <c r="B288" s="7" t="n"/>
      <c r="C288" s="7" t="n"/>
      <c r="D288" s="7" t="n"/>
      <c r="E288" s="7" t="n"/>
      <c r="F288" s="7">
        <f>IF(AND(ISNUMBER(D288),ISNUMBER(E288)),IF(D288=E288,"yes","no"),"")</f>
        <v/>
      </c>
      <c r="G288" s="7" t="n"/>
    </row>
    <row r="289">
      <c r="A289" s="7" t="n"/>
      <c r="B289" s="7" t="n"/>
      <c r="C289" s="7" t="n"/>
      <c r="D289" s="7" t="n"/>
      <c r="E289" s="7" t="n"/>
      <c r="F289" s="7">
        <f>IF(AND(ISNUMBER(D289),ISNUMBER(E289)),IF(D289=E289,"yes","no"),"")</f>
        <v/>
      </c>
      <c r="G289" s="7" t="n"/>
    </row>
    <row r="290">
      <c r="A290" s="7" t="n"/>
      <c r="B290" s="7" t="n"/>
      <c r="C290" s="7" t="n"/>
      <c r="D290" s="7" t="n"/>
      <c r="E290" s="7" t="n"/>
      <c r="F290" s="7">
        <f>IF(AND(ISNUMBER(D290),ISNUMBER(E290)),IF(D290=E290,"yes","no"),"")</f>
        <v/>
      </c>
      <c r="G290" s="7" t="n"/>
    </row>
    <row r="291">
      <c r="A291" s="7" t="n"/>
      <c r="B291" s="7" t="n"/>
      <c r="C291" s="7" t="n"/>
      <c r="D291" s="7" t="n"/>
      <c r="E291" s="7" t="n"/>
      <c r="F291" s="7">
        <f>IF(AND(ISNUMBER(D291),ISNUMBER(E291)),IF(D291=E291,"yes","no"),"")</f>
        <v/>
      </c>
      <c r="G291" s="7" t="n"/>
    </row>
    <row r="292">
      <c r="A292" s="7" t="n"/>
      <c r="B292" s="7" t="n"/>
      <c r="C292" s="7" t="n"/>
      <c r="D292" s="7" t="n"/>
      <c r="E292" s="7" t="n"/>
      <c r="F292" s="7">
        <f>IF(AND(ISNUMBER(D292),ISNUMBER(E292)),IF(D292=E292,"yes","no"),"")</f>
        <v/>
      </c>
      <c r="G292" s="7" t="n"/>
    </row>
    <row r="293">
      <c r="A293" s="7" t="n"/>
      <c r="B293" s="7" t="n"/>
      <c r="C293" s="7" t="n"/>
      <c r="D293" s="7" t="n"/>
      <c r="E293" s="7" t="n"/>
      <c r="F293" s="7">
        <f>IF(AND(ISNUMBER(D293),ISNUMBER(E293)),IF(D293=E293,"yes","no"),"")</f>
        <v/>
      </c>
      <c r="G293" s="7" t="n"/>
    </row>
    <row r="294">
      <c r="A294" s="7" t="n"/>
      <c r="B294" s="7" t="n"/>
      <c r="C294" s="7" t="n"/>
      <c r="D294" s="7" t="n"/>
      <c r="E294" s="7" t="n"/>
      <c r="F294" s="7">
        <f>IF(AND(ISNUMBER(D294),ISNUMBER(E294)),IF(D294=E294,"yes","no"),"")</f>
        <v/>
      </c>
      <c r="G294" s="7" t="n"/>
    </row>
    <row r="295">
      <c r="A295" s="7" t="n"/>
      <c r="B295" s="7" t="n"/>
      <c r="C295" s="7" t="n"/>
      <c r="D295" s="7" t="n"/>
      <c r="E295" s="7" t="n"/>
      <c r="F295" s="7">
        <f>IF(AND(ISNUMBER(D295),ISNUMBER(E295)),IF(D295=E295,"yes","no"),"")</f>
        <v/>
      </c>
      <c r="G295" s="7" t="n"/>
    </row>
    <row r="296">
      <c r="A296" s="7" t="n"/>
      <c r="B296" s="7" t="n"/>
      <c r="C296" s="7" t="n"/>
      <c r="D296" s="7" t="n"/>
      <c r="E296" s="7" t="n"/>
      <c r="F296" s="7">
        <f>IF(AND(ISNUMBER(D296),ISNUMBER(E296)),IF(D296=E296,"yes","no"),"")</f>
        <v/>
      </c>
      <c r="G296" s="7" t="n"/>
    </row>
    <row r="297">
      <c r="A297" s="7" t="n"/>
      <c r="B297" s="7" t="n"/>
      <c r="C297" s="7" t="n"/>
      <c r="D297" s="7" t="n"/>
      <c r="E297" s="7" t="n"/>
      <c r="F297" s="7">
        <f>IF(AND(ISNUMBER(D297),ISNUMBER(E297)),IF(D297=E297,"yes","no"),"")</f>
        <v/>
      </c>
      <c r="G297" s="7" t="n"/>
    </row>
    <row r="298">
      <c r="A298" s="7" t="n"/>
      <c r="B298" s="7" t="n"/>
      <c r="C298" s="7" t="n"/>
      <c r="D298" s="7" t="n"/>
      <c r="E298" s="7" t="n"/>
      <c r="F298" s="7">
        <f>IF(AND(ISNUMBER(D298),ISNUMBER(E298)),IF(D298=E298,"yes","no"),"")</f>
        <v/>
      </c>
      <c r="G298" s="7" t="n"/>
    </row>
    <row r="299">
      <c r="A299" s="7" t="n"/>
      <c r="B299" s="7" t="n"/>
      <c r="C299" s="7" t="n"/>
      <c r="D299" s="7" t="n"/>
      <c r="E299" s="7" t="n"/>
      <c r="F299" s="7">
        <f>IF(AND(ISNUMBER(D299),ISNUMBER(E299)),IF(D299=E299,"yes","no"),"")</f>
        <v/>
      </c>
      <c r="G299" s="7" t="n"/>
    </row>
    <row r="300">
      <c r="A300" s="7" t="n"/>
      <c r="B300" s="7" t="n"/>
      <c r="C300" s="7" t="n"/>
      <c r="D300" s="7" t="n"/>
      <c r="E300" s="7" t="n"/>
      <c r="F300" s="7">
        <f>IF(AND(ISNUMBER(D300),ISNUMBER(E300)),IF(D300=E300,"yes","no"),"")</f>
        <v/>
      </c>
      <c r="G300" s="7" t="n"/>
    </row>
    <row r="301">
      <c r="A301" s="7" t="n"/>
      <c r="B301" s="7" t="n"/>
      <c r="C301" s="7" t="n"/>
      <c r="D301" s="7" t="n"/>
      <c r="E301" s="7" t="n"/>
      <c r="F301" s="7">
        <f>IF(AND(ISNUMBER(D301),ISNUMBER(E301)),IF(D301=E301,"yes","no"),"")</f>
        <v/>
      </c>
      <c r="G301" s="7" t="n"/>
    </row>
    <row r="302">
      <c r="A302" s="7" t="n"/>
      <c r="B302" s="7" t="n"/>
      <c r="C302" s="7" t="n"/>
      <c r="D302" s="7" t="n"/>
      <c r="E302" s="7" t="n"/>
      <c r="F302" s="7">
        <f>IF(AND(ISNUMBER(D302),ISNUMBER(E302)),IF(D302=E302,"yes","no"),"")</f>
        <v/>
      </c>
      <c r="G302" s="7" t="n"/>
    </row>
    <row r="303">
      <c r="A303" s="7" t="n"/>
      <c r="B303" s="7" t="n"/>
      <c r="C303" s="7" t="n"/>
      <c r="D303" s="7" t="n"/>
      <c r="E303" s="7" t="n"/>
      <c r="F303" s="7">
        <f>IF(AND(ISNUMBER(D303),ISNUMBER(E303)),IF(D303=E303,"yes","no"),"")</f>
        <v/>
      </c>
      <c r="G303" s="7" t="n"/>
    </row>
    <row r="304">
      <c r="A304" s="7" t="n"/>
      <c r="B304" s="7" t="n"/>
      <c r="C304" s="7" t="n"/>
      <c r="D304" s="7" t="n"/>
      <c r="E304" s="7" t="n"/>
      <c r="F304" s="7">
        <f>IF(AND(ISNUMBER(D304),ISNUMBER(E304)),IF(D304=E304,"yes","no"),"")</f>
        <v/>
      </c>
      <c r="G304" s="7" t="n"/>
    </row>
    <row r="305">
      <c r="A305" s="7" t="n"/>
      <c r="B305" s="7" t="n"/>
      <c r="C305" s="7" t="n"/>
      <c r="D305" s="7" t="n"/>
      <c r="E305" s="7" t="n"/>
      <c r="F305" s="7">
        <f>IF(AND(ISNUMBER(D305),ISNUMBER(E305)),IF(D305=E305,"yes","no"),"")</f>
        <v/>
      </c>
      <c r="G305" s="7" t="n"/>
    </row>
    <row r="306">
      <c r="A306" s="7" t="n"/>
      <c r="B306" s="7" t="n"/>
      <c r="C306" s="7" t="n"/>
      <c r="D306" s="7" t="n"/>
      <c r="E306" s="7" t="n"/>
      <c r="F306" s="7">
        <f>IF(AND(ISNUMBER(D306),ISNUMBER(E306)),IF(D306=E306,"yes","no"),"")</f>
        <v/>
      </c>
      <c r="G306" s="7" t="n"/>
    </row>
    <row r="307">
      <c r="A307" s="7" t="n"/>
      <c r="B307" s="7" t="n"/>
      <c r="C307" s="7" t="n"/>
      <c r="D307" s="7" t="n"/>
      <c r="E307" s="7" t="n"/>
      <c r="F307" s="7">
        <f>IF(AND(ISNUMBER(D307),ISNUMBER(E307)),IF(D307=E307,"yes","no"),"")</f>
        <v/>
      </c>
      <c r="G307" s="7" t="n"/>
    </row>
    <row r="308">
      <c r="A308" s="7" t="n"/>
      <c r="B308" s="7" t="n"/>
      <c r="C308" s="7" t="n"/>
      <c r="D308" s="7" t="n"/>
      <c r="E308" s="7" t="n"/>
      <c r="F308" s="7">
        <f>IF(AND(ISNUMBER(D308),ISNUMBER(E308)),IF(D308=E308,"yes","no"),"")</f>
        <v/>
      </c>
      <c r="G308" s="7" t="n"/>
    </row>
    <row r="309">
      <c r="A309" s="7" t="n"/>
      <c r="B309" s="7" t="n"/>
      <c r="C309" s="7" t="n"/>
      <c r="D309" s="7" t="n"/>
      <c r="E309" s="7" t="n"/>
      <c r="F309" s="7">
        <f>IF(AND(ISNUMBER(D309),ISNUMBER(E309)),IF(D309=E309,"yes","no"),"")</f>
        <v/>
      </c>
      <c r="G309" s="7" t="n"/>
    </row>
    <row r="310">
      <c r="A310" s="7" t="n"/>
      <c r="B310" s="7" t="n"/>
      <c r="C310" s="7" t="n"/>
      <c r="D310" s="7" t="n"/>
      <c r="E310" s="7" t="n"/>
      <c r="F310" s="7">
        <f>IF(AND(ISNUMBER(D310),ISNUMBER(E310)),IF(D310=E310,"yes","no"),"")</f>
        <v/>
      </c>
      <c r="G310" s="7" t="n"/>
    </row>
    <row r="311">
      <c r="A311" s="7" t="n"/>
      <c r="B311" s="7" t="n"/>
      <c r="C311" s="7" t="n"/>
      <c r="D311" s="7" t="n"/>
      <c r="E311" s="7" t="n"/>
      <c r="F311" s="7">
        <f>IF(AND(ISNUMBER(D311),ISNUMBER(E311)),IF(D311=E311,"yes","no"),"")</f>
        <v/>
      </c>
      <c r="G311" s="7" t="n"/>
    </row>
    <row r="312">
      <c r="A312" s="7" t="n"/>
      <c r="B312" s="7" t="n"/>
      <c r="C312" s="7" t="n"/>
      <c r="D312" s="7" t="n"/>
      <c r="E312" s="7" t="n"/>
      <c r="F312" s="7">
        <f>IF(AND(ISNUMBER(D312),ISNUMBER(E312)),IF(D312=E312,"yes","no"),"")</f>
        <v/>
      </c>
      <c r="G312" s="7" t="n"/>
    </row>
    <row r="313">
      <c r="A313" s="7" t="n"/>
      <c r="B313" s="7" t="n"/>
      <c r="C313" s="7" t="n"/>
      <c r="D313" s="7" t="n"/>
      <c r="E313" s="7" t="n"/>
      <c r="F313" s="7">
        <f>IF(AND(ISNUMBER(D313),ISNUMBER(E313)),IF(D313=E313,"yes","no"),"")</f>
        <v/>
      </c>
      <c r="G313" s="7" t="n"/>
    </row>
    <row r="314">
      <c r="A314" s="7" t="n"/>
      <c r="B314" s="7" t="n"/>
      <c r="C314" s="7" t="n"/>
      <c r="D314" s="7" t="n"/>
      <c r="E314" s="7" t="n"/>
      <c r="F314" s="7">
        <f>IF(AND(ISNUMBER(D314),ISNUMBER(E314)),IF(D314=E314,"yes","no"),"")</f>
        <v/>
      </c>
      <c r="G314" s="7" t="n"/>
    </row>
    <row r="315">
      <c r="A315" s="7" t="n"/>
      <c r="B315" s="7" t="n"/>
      <c r="C315" s="7" t="n"/>
      <c r="D315" s="7" t="n"/>
      <c r="E315" s="7" t="n"/>
      <c r="F315" s="7">
        <f>IF(AND(ISNUMBER(D315),ISNUMBER(E315)),IF(D315=E315,"yes","no"),"")</f>
        <v/>
      </c>
      <c r="G315" s="7" t="n"/>
    </row>
    <row r="316">
      <c r="A316" s="7" t="n"/>
      <c r="B316" s="7" t="n"/>
      <c r="C316" s="7" t="n"/>
      <c r="D316" s="7" t="n"/>
      <c r="E316" s="7" t="n"/>
      <c r="F316" s="7">
        <f>IF(AND(ISNUMBER(D316),ISNUMBER(E316)),IF(D316=E316,"yes","no"),"")</f>
        <v/>
      </c>
      <c r="G316" s="7" t="n"/>
    </row>
    <row r="317">
      <c r="A317" s="7" t="n"/>
      <c r="B317" s="7" t="n"/>
      <c r="C317" s="7" t="n"/>
      <c r="D317" s="7" t="n"/>
      <c r="E317" s="7" t="n"/>
      <c r="F317" s="7">
        <f>IF(AND(ISNUMBER(D317),ISNUMBER(E317)),IF(D317=E317,"yes","no"),"")</f>
        <v/>
      </c>
      <c r="G317" s="7" t="n"/>
    </row>
    <row r="318">
      <c r="A318" s="7" t="n"/>
      <c r="B318" s="7" t="n"/>
      <c r="C318" s="7" t="n"/>
      <c r="D318" s="7" t="n"/>
      <c r="E318" s="7" t="n"/>
      <c r="F318" s="7">
        <f>IF(AND(ISNUMBER(D318),ISNUMBER(E318)),IF(D318=E318,"yes","no"),"")</f>
        <v/>
      </c>
      <c r="G318" s="7" t="n"/>
    </row>
    <row r="319">
      <c r="A319" s="7" t="n"/>
      <c r="B319" s="7" t="n"/>
      <c r="C319" s="7" t="n"/>
      <c r="D319" s="7" t="n"/>
      <c r="E319" s="7" t="n"/>
      <c r="F319" s="7">
        <f>IF(AND(ISNUMBER(D319),ISNUMBER(E319)),IF(D319=E319,"yes","no"),"")</f>
        <v/>
      </c>
      <c r="G319" s="7" t="n"/>
    </row>
    <row r="320">
      <c r="A320" s="7" t="n"/>
      <c r="B320" s="7" t="n"/>
      <c r="C320" s="7" t="n"/>
      <c r="D320" s="7" t="n"/>
      <c r="E320" s="7" t="n"/>
      <c r="F320" s="7">
        <f>IF(AND(ISNUMBER(D320),ISNUMBER(E320)),IF(D320=E320,"yes","no"),"")</f>
        <v/>
      </c>
      <c r="G320" s="7" t="n"/>
    </row>
    <row r="321">
      <c r="A321" s="7" t="n"/>
      <c r="B321" s="7" t="n"/>
      <c r="C321" s="7" t="n"/>
      <c r="D321" s="7" t="n"/>
      <c r="E321" s="7" t="n"/>
      <c r="F321" s="7">
        <f>IF(AND(ISNUMBER(D321),ISNUMBER(E321)),IF(D321=E321,"yes","no"),"")</f>
        <v/>
      </c>
      <c r="G321" s="7" t="n"/>
    </row>
    <row r="322">
      <c r="A322" s="7" t="n"/>
      <c r="B322" s="7" t="n"/>
      <c r="C322" s="7" t="n"/>
      <c r="D322" s="7" t="n"/>
      <c r="E322" s="7" t="n"/>
      <c r="F322" s="7">
        <f>IF(AND(ISNUMBER(D322),ISNUMBER(E322)),IF(D322=E322,"yes","no"),"")</f>
        <v/>
      </c>
      <c r="G322" s="7" t="n"/>
    </row>
    <row r="323">
      <c r="A323" s="7" t="n"/>
      <c r="B323" s="7" t="n"/>
      <c r="C323" s="7" t="n"/>
      <c r="D323" s="7" t="n"/>
      <c r="E323" s="7" t="n"/>
      <c r="F323" s="7">
        <f>IF(AND(ISNUMBER(D323),ISNUMBER(E323)),IF(D323=E323,"yes","no"),"")</f>
        <v/>
      </c>
      <c r="G323" s="7" t="n"/>
    </row>
    <row r="324">
      <c r="A324" s="7" t="n"/>
      <c r="B324" s="7" t="n"/>
      <c r="C324" s="7" t="n"/>
      <c r="D324" s="7" t="n"/>
      <c r="E324" s="7" t="n"/>
      <c r="F324" s="7">
        <f>IF(AND(ISNUMBER(D324),ISNUMBER(E324)),IF(D324=E324,"yes","no"),"")</f>
        <v/>
      </c>
      <c r="G324" s="7" t="n"/>
    </row>
    <row r="325">
      <c r="A325" s="7" t="n"/>
      <c r="B325" s="7" t="n"/>
      <c r="C325" s="7" t="n"/>
      <c r="D325" s="7" t="n"/>
      <c r="E325" s="7" t="n"/>
      <c r="F325" s="7">
        <f>IF(AND(ISNUMBER(D325),ISNUMBER(E325)),IF(D325=E325,"yes","no"),"")</f>
        <v/>
      </c>
      <c r="G325" s="7" t="n"/>
    </row>
    <row r="326">
      <c r="A326" s="7" t="n"/>
      <c r="B326" s="7" t="n"/>
      <c r="C326" s="7" t="n"/>
      <c r="D326" s="7" t="n"/>
      <c r="E326" s="7" t="n"/>
      <c r="F326" s="7">
        <f>IF(AND(ISNUMBER(D326),ISNUMBER(E326)),IF(D326=E326,"yes","no"),"")</f>
        <v/>
      </c>
      <c r="G326" s="7" t="n"/>
    </row>
    <row r="327">
      <c r="A327" s="7" t="n"/>
      <c r="B327" s="7" t="n"/>
      <c r="C327" s="7" t="n"/>
      <c r="D327" s="7" t="n"/>
      <c r="E327" s="7" t="n"/>
      <c r="F327" s="7">
        <f>IF(AND(ISNUMBER(D327),ISNUMBER(E327)),IF(D327=E327,"yes","no"),"")</f>
        <v/>
      </c>
      <c r="G327" s="7" t="n"/>
    </row>
    <row r="328">
      <c r="A328" s="7" t="n"/>
      <c r="B328" s="7" t="n"/>
      <c r="C328" s="7" t="n"/>
      <c r="D328" s="7" t="n"/>
      <c r="E328" s="7" t="n"/>
      <c r="F328" s="7">
        <f>IF(AND(ISNUMBER(D328),ISNUMBER(E328)),IF(D328=E328,"yes","no"),"")</f>
        <v/>
      </c>
      <c r="G328" s="7" t="n"/>
    </row>
    <row r="329">
      <c r="A329" s="7" t="n"/>
      <c r="B329" s="7" t="n"/>
      <c r="C329" s="7" t="n"/>
      <c r="D329" s="7" t="n"/>
      <c r="E329" s="7" t="n"/>
      <c r="F329" s="7">
        <f>IF(AND(ISNUMBER(D329),ISNUMBER(E329)),IF(D329=E329,"yes","no"),"")</f>
        <v/>
      </c>
      <c r="G329" s="7" t="n"/>
    </row>
    <row r="330">
      <c r="A330" s="7" t="n"/>
      <c r="B330" s="7" t="n"/>
      <c r="C330" s="7" t="n"/>
      <c r="D330" s="7" t="n"/>
      <c r="E330" s="7" t="n"/>
      <c r="F330" s="7">
        <f>IF(AND(ISNUMBER(D330),ISNUMBER(E330)),IF(D330=E330,"yes","no"),"")</f>
        <v/>
      </c>
      <c r="G330" s="7" t="n"/>
    </row>
    <row r="331">
      <c r="A331" s="7" t="n"/>
      <c r="B331" s="7" t="n"/>
      <c r="C331" s="7" t="n"/>
      <c r="D331" s="7" t="n"/>
      <c r="E331" s="7" t="n"/>
      <c r="F331" s="7">
        <f>IF(AND(ISNUMBER(D331),ISNUMBER(E331)),IF(D331=E331,"yes","no"),"")</f>
        <v/>
      </c>
      <c r="G331" s="7" t="n"/>
    </row>
    <row r="332">
      <c r="A332" s="7" t="n"/>
      <c r="B332" s="7" t="n"/>
      <c r="C332" s="7" t="n"/>
      <c r="D332" s="7" t="n"/>
      <c r="E332" s="7" t="n"/>
      <c r="F332" s="7">
        <f>IF(AND(ISNUMBER(D332),ISNUMBER(E332)),IF(D332=E332,"yes","no"),"")</f>
        <v/>
      </c>
      <c r="G332" s="7" t="n"/>
    </row>
    <row r="333">
      <c r="A333" s="7" t="n"/>
      <c r="B333" s="7" t="n"/>
      <c r="C333" s="7" t="n"/>
      <c r="D333" s="7" t="n"/>
      <c r="E333" s="7" t="n"/>
      <c r="F333" s="7">
        <f>IF(AND(ISNUMBER(D333),ISNUMBER(E333)),IF(D333=E333,"yes","no"),"")</f>
        <v/>
      </c>
      <c r="G333" s="7" t="n"/>
    </row>
    <row r="334">
      <c r="A334" s="7" t="n"/>
      <c r="B334" s="7" t="n"/>
      <c r="C334" s="7" t="n"/>
      <c r="D334" s="7" t="n"/>
      <c r="E334" s="7" t="n"/>
      <c r="F334" s="7">
        <f>IF(AND(ISNUMBER(D334),ISNUMBER(E334)),IF(D334=E334,"yes","no"),"")</f>
        <v/>
      </c>
      <c r="G334" s="7" t="n"/>
    </row>
    <row r="335">
      <c r="A335" s="7" t="n"/>
      <c r="B335" s="7" t="n"/>
      <c r="C335" s="7" t="n"/>
      <c r="D335" s="7" t="n"/>
      <c r="E335" s="7" t="n"/>
      <c r="F335" s="7">
        <f>IF(AND(ISNUMBER(D335),ISNUMBER(E335)),IF(D335=E335,"yes","no"),"")</f>
        <v/>
      </c>
      <c r="G335" s="7" t="n"/>
    </row>
    <row r="336">
      <c r="A336" s="7" t="n"/>
      <c r="B336" s="7" t="n"/>
      <c r="C336" s="7" t="n"/>
      <c r="D336" s="7" t="n"/>
      <c r="E336" s="7" t="n"/>
      <c r="F336" s="7">
        <f>IF(AND(ISNUMBER(D336),ISNUMBER(E336)),IF(D336=E336,"yes","no"),"")</f>
        <v/>
      </c>
      <c r="G336" s="7" t="n"/>
    </row>
    <row r="337">
      <c r="A337" s="7" t="n"/>
      <c r="B337" s="7" t="n"/>
      <c r="C337" s="7" t="n"/>
      <c r="D337" s="7" t="n"/>
      <c r="E337" s="7" t="n"/>
      <c r="F337" s="7">
        <f>IF(AND(ISNUMBER(D337),ISNUMBER(E337)),IF(D337=E337,"yes","no"),"")</f>
        <v/>
      </c>
      <c r="G337" s="7" t="n"/>
    </row>
    <row r="338">
      <c r="A338" s="7" t="n"/>
      <c r="B338" s="7" t="n"/>
      <c r="C338" s="7" t="n"/>
      <c r="D338" s="7" t="n"/>
      <c r="E338" s="7" t="n"/>
      <c r="F338" s="7">
        <f>IF(AND(ISNUMBER(D338),ISNUMBER(E338)),IF(D338=E338,"yes","no"),"")</f>
        <v/>
      </c>
      <c r="G338" s="7" t="n"/>
    </row>
    <row r="339">
      <c r="A339" s="7" t="n"/>
      <c r="B339" s="7" t="n"/>
      <c r="C339" s="7" t="n"/>
      <c r="D339" s="7" t="n"/>
      <c r="E339" s="7" t="n"/>
      <c r="F339" s="7">
        <f>IF(AND(ISNUMBER(D339),ISNUMBER(E339)),IF(D339=E339,"yes","no"),"")</f>
        <v/>
      </c>
      <c r="G339" s="7" t="n"/>
    </row>
    <row r="340">
      <c r="A340" s="7" t="n"/>
      <c r="B340" s="7" t="n"/>
      <c r="C340" s="7" t="n"/>
      <c r="D340" s="7" t="n"/>
      <c r="E340" s="7" t="n"/>
      <c r="F340" s="7">
        <f>IF(AND(ISNUMBER(D340),ISNUMBER(E340)),IF(D340=E340,"yes","no"),"")</f>
        <v/>
      </c>
      <c r="G340" s="7" t="n"/>
    </row>
    <row r="341">
      <c r="A341" s="7" t="n"/>
      <c r="B341" s="7" t="n"/>
      <c r="C341" s="7" t="n"/>
      <c r="D341" s="7" t="n"/>
      <c r="E341" s="7" t="n"/>
      <c r="F341" s="7">
        <f>IF(AND(ISNUMBER(D341),ISNUMBER(E341)),IF(D341=E341,"yes","no"),"")</f>
        <v/>
      </c>
      <c r="G341" s="7" t="n"/>
    </row>
    <row r="342">
      <c r="A342" s="7" t="n"/>
      <c r="B342" s="7" t="n"/>
      <c r="C342" s="7" t="n"/>
      <c r="D342" s="7" t="n"/>
      <c r="E342" s="7" t="n"/>
      <c r="F342" s="7">
        <f>IF(AND(ISNUMBER(D342),ISNUMBER(E342)),IF(D342=E342,"yes","no"),"")</f>
        <v/>
      </c>
      <c r="G342" s="7" t="n"/>
    </row>
    <row r="343">
      <c r="A343" s="7" t="n"/>
      <c r="B343" s="7" t="n"/>
      <c r="C343" s="7" t="n"/>
      <c r="D343" s="7" t="n"/>
      <c r="E343" s="7" t="n"/>
      <c r="F343" s="7">
        <f>IF(AND(ISNUMBER(D343),ISNUMBER(E343)),IF(D343=E343,"yes","no"),"")</f>
        <v/>
      </c>
      <c r="G343" s="7" t="n"/>
    </row>
    <row r="344">
      <c r="A344" s="7" t="n"/>
      <c r="B344" s="7" t="n"/>
      <c r="C344" s="7" t="n"/>
      <c r="D344" s="7" t="n"/>
      <c r="E344" s="7" t="n"/>
      <c r="F344" s="7">
        <f>IF(AND(ISNUMBER(D344),ISNUMBER(E344)),IF(D344=E344,"yes","no"),"")</f>
        <v/>
      </c>
      <c r="G344" s="7" t="n"/>
    </row>
    <row r="345">
      <c r="A345" s="7" t="n"/>
      <c r="B345" s="7" t="n"/>
      <c r="C345" s="7" t="n"/>
      <c r="D345" s="7" t="n"/>
      <c r="E345" s="7" t="n"/>
      <c r="F345" s="7">
        <f>IF(AND(ISNUMBER(D345),ISNUMBER(E345)),IF(D345=E345,"yes","no"),"")</f>
        <v/>
      </c>
      <c r="G345" s="7" t="n"/>
    </row>
    <row r="346">
      <c r="A346" s="7" t="n"/>
      <c r="B346" s="7" t="n"/>
      <c r="C346" s="7" t="n"/>
      <c r="D346" s="7" t="n"/>
      <c r="E346" s="7" t="n"/>
      <c r="F346" s="7">
        <f>IF(AND(ISNUMBER(D346),ISNUMBER(E346)),IF(D346=E346,"yes","no"),"")</f>
        <v/>
      </c>
      <c r="G346" s="7" t="n"/>
    </row>
    <row r="347">
      <c r="A347" s="7" t="n"/>
      <c r="B347" s="7" t="n"/>
      <c r="C347" s="7" t="n"/>
      <c r="D347" s="7" t="n"/>
      <c r="E347" s="7" t="n"/>
      <c r="F347" s="7">
        <f>IF(AND(ISNUMBER(D347),ISNUMBER(E347)),IF(D347=E347,"yes","no"),"")</f>
        <v/>
      </c>
      <c r="G347" s="7" t="n"/>
    </row>
    <row r="348">
      <c r="A348" s="7" t="n"/>
      <c r="B348" s="7" t="n"/>
      <c r="C348" s="7" t="n"/>
      <c r="D348" s="7" t="n"/>
      <c r="E348" s="7" t="n"/>
      <c r="F348" s="7">
        <f>IF(AND(ISNUMBER(D348),ISNUMBER(E348)),IF(D348=E348,"yes","no"),"")</f>
        <v/>
      </c>
      <c r="G348" s="7" t="n"/>
    </row>
    <row r="349">
      <c r="A349" s="7" t="n"/>
      <c r="B349" s="7" t="n"/>
      <c r="C349" s="7" t="n"/>
      <c r="D349" s="7" t="n"/>
      <c r="E349" s="7" t="n"/>
      <c r="F349" s="7">
        <f>IF(AND(ISNUMBER(D349),ISNUMBER(E349)),IF(D349=E349,"yes","no"),"")</f>
        <v/>
      </c>
      <c r="G349" s="7" t="n"/>
    </row>
    <row r="350">
      <c r="A350" s="7" t="n"/>
      <c r="B350" s="7" t="n"/>
      <c r="C350" s="7" t="n"/>
      <c r="D350" s="7" t="n"/>
      <c r="E350" s="7" t="n"/>
      <c r="F350" s="7">
        <f>IF(AND(ISNUMBER(D350),ISNUMBER(E350)),IF(D350=E350,"yes","no"),"")</f>
        <v/>
      </c>
      <c r="G350" s="7" t="n"/>
    </row>
    <row r="351">
      <c r="A351" s="7" t="n"/>
      <c r="B351" s="7" t="n"/>
      <c r="C351" s="7" t="n"/>
      <c r="D351" s="7" t="n"/>
      <c r="E351" s="7" t="n"/>
      <c r="F351" s="7">
        <f>IF(AND(ISNUMBER(D351),ISNUMBER(E351)),IF(D351=E351,"yes","no"),"")</f>
        <v/>
      </c>
      <c r="G351" s="7" t="n"/>
    </row>
    <row r="352">
      <c r="A352" s="7" t="n"/>
      <c r="B352" s="7" t="n"/>
      <c r="C352" s="7" t="n"/>
      <c r="D352" s="7" t="n"/>
      <c r="E352" s="7" t="n"/>
      <c r="F352" s="7">
        <f>IF(AND(ISNUMBER(D352),ISNUMBER(E352)),IF(D352=E352,"yes","no"),"")</f>
        <v/>
      </c>
      <c r="G352" s="7" t="n"/>
    </row>
    <row r="353">
      <c r="A353" s="7" t="n"/>
      <c r="B353" s="7" t="n"/>
      <c r="C353" s="7" t="n"/>
      <c r="D353" s="7" t="n"/>
      <c r="E353" s="7" t="n"/>
      <c r="F353" s="7">
        <f>IF(AND(ISNUMBER(D353),ISNUMBER(E353)),IF(D353=E353,"yes","no"),"")</f>
        <v/>
      </c>
      <c r="G353" s="7" t="n"/>
    </row>
    <row r="354">
      <c r="A354" s="7" t="n"/>
      <c r="B354" s="7" t="n"/>
      <c r="C354" s="7" t="n"/>
      <c r="D354" s="7" t="n"/>
      <c r="E354" s="7" t="n"/>
      <c r="F354" s="7">
        <f>IF(AND(ISNUMBER(D354),ISNUMBER(E354)),IF(D354=E354,"yes","no"),"")</f>
        <v/>
      </c>
      <c r="G354" s="7" t="n"/>
    </row>
    <row r="355">
      <c r="A355" s="7" t="n"/>
      <c r="B355" s="7" t="n"/>
      <c r="C355" s="7" t="n"/>
      <c r="D355" s="7" t="n"/>
      <c r="E355" s="7" t="n"/>
      <c r="F355" s="7">
        <f>IF(AND(ISNUMBER(D355),ISNUMBER(E355)),IF(D355=E355,"yes","no"),"")</f>
        <v/>
      </c>
      <c r="G355" s="7" t="n"/>
    </row>
    <row r="356">
      <c r="A356" s="7" t="n"/>
      <c r="B356" s="7" t="n"/>
      <c r="C356" s="7" t="n"/>
      <c r="D356" s="7" t="n"/>
      <c r="E356" s="7" t="n"/>
      <c r="F356" s="7">
        <f>IF(AND(ISNUMBER(D356),ISNUMBER(E356)),IF(D356=E356,"yes","no"),"")</f>
        <v/>
      </c>
      <c r="G356" s="7" t="n"/>
    </row>
    <row r="357">
      <c r="A357" s="7" t="n"/>
      <c r="B357" s="7" t="n"/>
      <c r="C357" s="7" t="n"/>
      <c r="D357" s="7" t="n"/>
      <c r="E357" s="7" t="n"/>
      <c r="F357" s="7">
        <f>IF(AND(ISNUMBER(D357),ISNUMBER(E357)),IF(D357=E357,"yes","no"),"")</f>
        <v/>
      </c>
      <c r="G357" s="7" t="n"/>
    </row>
    <row r="358">
      <c r="A358" s="7" t="n"/>
      <c r="B358" s="7" t="n"/>
      <c r="C358" s="7" t="n"/>
      <c r="D358" s="7" t="n"/>
      <c r="E358" s="7" t="n"/>
      <c r="F358" s="7">
        <f>IF(AND(ISNUMBER(D358),ISNUMBER(E358)),IF(D358=E358,"yes","no"),"")</f>
        <v/>
      </c>
      <c r="G358" s="7" t="n"/>
    </row>
    <row r="359">
      <c r="A359" s="7" t="n"/>
      <c r="B359" s="7" t="n"/>
      <c r="C359" s="7" t="n"/>
      <c r="D359" s="7" t="n"/>
      <c r="E359" s="7" t="n"/>
      <c r="F359" s="7">
        <f>IF(AND(ISNUMBER(D359),ISNUMBER(E359)),IF(D359=E359,"yes","no"),"")</f>
        <v/>
      </c>
      <c r="G359" s="7" t="n"/>
    </row>
    <row r="360">
      <c r="A360" s="7" t="n"/>
      <c r="B360" s="7" t="n"/>
      <c r="C360" s="7" t="n"/>
      <c r="D360" s="7" t="n"/>
      <c r="E360" s="7" t="n"/>
      <c r="F360" s="7">
        <f>IF(AND(ISNUMBER(D360),ISNUMBER(E360)),IF(D360=E360,"yes","no"),"")</f>
        <v/>
      </c>
      <c r="G360" s="7" t="n"/>
    </row>
    <row r="361">
      <c r="A361" s="7" t="n"/>
      <c r="B361" s="7" t="n"/>
      <c r="C361" s="7" t="n"/>
      <c r="D361" s="7" t="n"/>
      <c r="E361" s="7" t="n"/>
      <c r="F361" s="7">
        <f>IF(AND(ISNUMBER(D361),ISNUMBER(E361)),IF(D361=E361,"yes","no"),"")</f>
        <v/>
      </c>
      <c r="G361" s="7" t="n"/>
    </row>
    <row r="362">
      <c r="A362" s="7" t="n"/>
      <c r="B362" s="7" t="n"/>
      <c r="C362" s="7" t="n"/>
      <c r="D362" s="7" t="n"/>
      <c r="E362" s="7" t="n"/>
      <c r="F362" s="7">
        <f>IF(AND(ISNUMBER(D362),ISNUMBER(E362)),IF(D362=E362,"yes","no"),"")</f>
        <v/>
      </c>
      <c r="G362" s="7" t="n"/>
    </row>
    <row r="363">
      <c r="A363" s="7" t="n"/>
      <c r="B363" s="7" t="n"/>
      <c r="C363" s="7" t="n"/>
      <c r="D363" s="7" t="n"/>
      <c r="E363" s="7" t="n"/>
      <c r="F363" s="7">
        <f>IF(AND(ISNUMBER(D363),ISNUMBER(E363)),IF(D363=E363,"yes","no"),"")</f>
        <v/>
      </c>
      <c r="G363" s="7" t="n"/>
    </row>
    <row r="364">
      <c r="A364" s="7" t="n"/>
      <c r="B364" s="7" t="n"/>
      <c r="C364" s="7" t="n"/>
      <c r="D364" s="7" t="n"/>
      <c r="E364" s="7" t="n"/>
      <c r="F364" s="7">
        <f>IF(AND(ISNUMBER(D364),ISNUMBER(E364)),IF(D364=E364,"yes","no"),"")</f>
        <v/>
      </c>
      <c r="G364" s="7" t="n"/>
    </row>
    <row r="365">
      <c r="A365" s="7" t="n"/>
      <c r="B365" s="7" t="n"/>
      <c r="C365" s="7" t="n"/>
      <c r="D365" s="7" t="n"/>
      <c r="E365" s="7" t="n"/>
      <c r="F365" s="7">
        <f>IF(AND(ISNUMBER(D365),ISNUMBER(E365)),IF(D365=E365,"yes","no"),"")</f>
        <v/>
      </c>
      <c r="G365" s="7" t="n"/>
    </row>
    <row r="366">
      <c r="A366" s="7" t="n"/>
      <c r="B366" s="7" t="n"/>
      <c r="C366" s="7" t="n"/>
      <c r="D366" s="7" t="n"/>
      <c r="E366" s="7" t="n"/>
      <c r="F366" s="7">
        <f>IF(AND(ISNUMBER(D366),ISNUMBER(E366)),IF(D366=E366,"yes","no"),"")</f>
        <v/>
      </c>
      <c r="G366" s="7" t="n"/>
    </row>
    <row r="367">
      <c r="A367" s="7" t="n"/>
      <c r="B367" s="7" t="n"/>
      <c r="C367" s="7" t="n"/>
      <c r="D367" s="7" t="n"/>
      <c r="E367" s="7" t="n"/>
      <c r="F367" s="7">
        <f>IF(AND(ISNUMBER(D367),ISNUMBER(E367)),IF(D367=E367,"yes","no"),"")</f>
        <v/>
      </c>
      <c r="G367" s="7" t="n"/>
    </row>
    <row r="368">
      <c r="A368" s="7" t="n"/>
      <c r="B368" s="7" t="n"/>
      <c r="C368" s="7" t="n"/>
      <c r="D368" s="7" t="n"/>
      <c r="E368" s="7" t="n"/>
      <c r="F368" s="7">
        <f>IF(AND(ISNUMBER(D368),ISNUMBER(E368)),IF(D368=E368,"yes","no"),"")</f>
        <v/>
      </c>
      <c r="G368" s="7" t="n"/>
    </row>
    <row r="369">
      <c r="A369" s="7" t="n"/>
      <c r="B369" s="7" t="n"/>
      <c r="C369" s="7" t="n"/>
      <c r="D369" s="7" t="n"/>
      <c r="E369" s="7" t="n"/>
      <c r="F369" s="7">
        <f>IF(AND(ISNUMBER(D369),ISNUMBER(E369)),IF(D369=E369,"yes","no"),"")</f>
        <v/>
      </c>
      <c r="G369" s="7" t="n"/>
    </row>
    <row r="370">
      <c r="A370" s="7" t="n"/>
      <c r="B370" s="7" t="n"/>
      <c r="C370" s="7" t="n"/>
      <c r="D370" s="7" t="n"/>
      <c r="E370" s="7" t="n"/>
      <c r="F370" s="7">
        <f>IF(AND(ISNUMBER(D370),ISNUMBER(E370)),IF(D370=E370,"yes","no"),"")</f>
        <v/>
      </c>
      <c r="G370" s="7" t="n"/>
    </row>
    <row r="371">
      <c r="A371" s="7" t="n"/>
      <c r="B371" s="7" t="n"/>
      <c r="C371" s="7" t="n"/>
      <c r="D371" s="7" t="n"/>
      <c r="E371" s="7" t="n"/>
      <c r="F371" s="7">
        <f>IF(AND(ISNUMBER(D371),ISNUMBER(E371)),IF(D371=E371,"yes","no"),"")</f>
        <v/>
      </c>
      <c r="G371" s="7" t="n"/>
    </row>
    <row r="372">
      <c r="A372" s="7" t="n"/>
      <c r="B372" s="7" t="n"/>
      <c r="C372" s="7" t="n"/>
      <c r="D372" s="7" t="n"/>
      <c r="E372" s="7" t="n"/>
      <c r="F372" s="7">
        <f>IF(AND(ISNUMBER(D372),ISNUMBER(E372)),IF(D372=E372,"yes","no"),"")</f>
        <v/>
      </c>
      <c r="G372" s="7" t="n"/>
    </row>
    <row r="373">
      <c r="A373" s="7" t="n"/>
      <c r="B373" s="7" t="n"/>
      <c r="C373" s="7" t="n"/>
      <c r="D373" s="7" t="n"/>
      <c r="E373" s="7" t="n"/>
      <c r="F373" s="7">
        <f>IF(AND(ISNUMBER(D373),ISNUMBER(E373)),IF(D373=E373,"yes","no"),"")</f>
        <v/>
      </c>
      <c r="G373" s="7" t="n"/>
    </row>
    <row r="374">
      <c r="A374" s="7" t="n"/>
      <c r="B374" s="7" t="n"/>
      <c r="C374" s="7" t="n"/>
      <c r="D374" s="7" t="n"/>
      <c r="E374" s="7" t="n"/>
      <c r="F374" s="7">
        <f>IF(AND(ISNUMBER(D374),ISNUMBER(E374)),IF(D374=E374,"yes","no"),"")</f>
        <v/>
      </c>
      <c r="G374" s="7" t="n"/>
    </row>
    <row r="375">
      <c r="A375" s="7" t="n"/>
      <c r="B375" s="7" t="n"/>
      <c r="C375" s="7" t="n"/>
      <c r="D375" s="7" t="n"/>
      <c r="E375" s="7" t="n"/>
      <c r="F375" s="7">
        <f>IF(AND(ISNUMBER(D375),ISNUMBER(E375)),IF(D375=E375,"yes","no"),"")</f>
        <v/>
      </c>
      <c r="G375" s="7" t="n"/>
    </row>
    <row r="376">
      <c r="A376" s="7" t="n"/>
      <c r="B376" s="7" t="n"/>
      <c r="C376" s="7" t="n"/>
      <c r="D376" s="7" t="n"/>
      <c r="E376" s="7" t="n"/>
      <c r="F376" s="7">
        <f>IF(AND(ISNUMBER(D376),ISNUMBER(E376)),IF(D376=E376,"yes","no"),"")</f>
        <v/>
      </c>
      <c r="G376" s="7" t="n"/>
    </row>
    <row r="377">
      <c r="A377" s="7" t="n"/>
      <c r="B377" s="7" t="n"/>
      <c r="C377" s="7" t="n"/>
      <c r="D377" s="7" t="n"/>
      <c r="E377" s="7" t="n"/>
      <c r="F377" s="7">
        <f>IF(AND(ISNUMBER(D377),ISNUMBER(E377)),IF(D377=E377,"yes","no"),"")</f>
        <v/>
      </c>
      <c r="G377" s="7" t="n"/>
    </row>
    <row r="378">
      <c r="A378" s="7" t="n"/>
      <c r="B378" s="7" t="n"/>
      <c r="C378" s="7" t="n"/>
      <c r="D378" s="7" t="n"/>
      <c r="E378" s="7" t="n"/>
      <c r="F378" s="7">
        <f>IF(AND(ISNUMBER(D378),ISNUMBER(E378)),IF(D378=E378,"yes","no"),"")</f>
        <v/>
      </c>
      <c r="G378" s="7" t="n"/>
    </row>
    <row r="379">
      <c r="A379" s="7" t="n"/>
      <c r="B379" s="7" t="n"/>
      <c r="C379" s="7" t="n"/>
      <c r="D379" s="7" t="n"/>
      <c r="E379" s="7" t="n"/>
      <c r="F379" s="7">
        <f>IF(AND(ISNUMBER(D379),ISNUMBER(E379)),IF(D379=E379,"yes","no"),"")</f>
        <v/>
      </c>
      <c r="G379" s="7" t="n"/>
    </row>
    <row r="380">
      <c r="A380" s="7" t="n"/>
      <c r="B380" s="7" t="n"/>
      <c r="C380" s="7" t="n"/>
      <c r="D380" s="7" t="n"/>
      <c r="E380" s="7" t="n"/>
      <c r="F380" s="7">
        <f>IF(AND(ISNUMBER(D380),ISNUMBER(E380)),IF(D380=E380,"yes","no"),"")</f>
        <v/>
      </c>
      <c r="G380" s="7" t="n"/>
    </row>
    <row r="381">
      <c r="A381" s="7" t="n"/>
      <c r="B381" s="7" t="n"/>
      <c r="C381" s="7" t="n"/>
      <c r="D381" s="7" t="n"/>
      <c r="E381" s="7" t="n"/>
      <c r="F381" s="7">
        <f>IF(AND(ISNUMBER(D381),ISNUMBER(E381)),IF(D381=E381,"yes","no"),"")</f>
        <v/>
      </c>
      <c r="G381" s="7" t="n"/>
    </row>
    <row r="382">
      <c r="A382" s="7" t="n"/>
      <c r="B382" s="7" t="n"/>
      <c r="C382" s="7" t="n"/>
      <c r="D382" s="7" t="n"/>
      <c r="E382" s="7" t="n"/>
      <c r="F382" s="7">
        <f>IF(AND(ISNUMBER(D382),ISNUMBER(E382)),IF(D382=E382,"yes","no"),"")</f>
        <v/>
      </c>
      <c r="G382" s="7" t="n"/>
    </row>
    <row r="383">
      <c r="A383" s="7" t="n"/>
      <c r="B383" s="7" t="n"/>
      <c r="C383" s="7" t="n"/>
      <c r="D383" s="7" t="n"/>
      <c r="E383" s="7" t="n"/>
      <c r="F383" s="7">
        <f>IF(AND(ISNUMBER(D383),ISNUMBER(E383)),IF(D383=E383,"yes","no"),"")</f>
        <v/>
      </c>
      <c r="G383" s="7" t="n"/>
    </row>
    <row r="384">
      <c r="A384" s="7" t="n"/>
      <c r="B384" s="7" t="n"/>
      <c r="C384" s="7" t="n"/>
      <c r="D384" s="7" t="n"/>
      <c r="E384" s="7" t="n"/>
      <c r="F384" s="7">
        <f>IF(AND(ISNUMBER(D384),ISNUMBER(E384)),IF(D384=E384,"yes","no"),"")</f>
        <v/>
      </c>
      <c r="G384" s="7" t="n"/>
    </row>
    <row r="385">
      <c r="A385" s="7" t="n"/>
      <c r="B385" s="7" t="n"/>
      <c r="C385" s="7" t="n"/>
      <c r="D385" s="7" t="n"/>
      <c r="E385" s="7" t="n"/>
      <c r="F385" s="7">
        <f>IF(AND(ISNUMBER(D385),ISNUMBER(E385)),IF(D385=E385,"yes","no"),"")</f>
        <v/>
      </c>
      <c r="G385" s="7" t="n"/>
    </row>
    <row r="386">
      <c r="A386" s="7" t="n"/>
      <c r="B386" s="7" t="n"/>
      <c r="C386" s="7" t="n"/>
      <c r="D386" s="7" t="n"/>
      <c r="E386" s="7" t="n"/>
      <c r="F386" s="7">
        <f>IF(AND(ISNUMBER(D386),ISNUMBER(E386)),IF(D386=E386,"yes","no"),"")</f>
        <v/>
      </c>
      <c r="G386" s="7" t="n"/>
    </row>
    <row r="387">
      <c r="A387" s="7" t="n"/>
      <c r="B387" s="7" t="n"/>
      <c r="C387" s="7" t="n"/>
      <c r="D387" s="7" t="n"/>
      <c r="E387" s="7" t="n"/>
      <c r="F387" s="7">
        <f>IF(AND(ISNUMBER(D387),ISNUMBER(E387)),IF(D387=E387,"yes","no"),"")</f>
        <v/>
      </c>
      <c r="G387" s="7" t="n"/>
    </row>
    <row r="388">
      <c r="A388" s="7" t="n"/>
      <c r="B388" s="7" t="n"/>
      <c r="C388" s="7" t="n"/>
      <c r="D388" s="7" t="n"/>
      <c r="E388" s="7" t="n"/>
      <c r="F388" s="7">
        <f>IF(AND(ISNUMBER(D388),ISNUMBER(E388)),IF(D388=E388,"yes","no"),"")</f>
        <v/>
      </c>
      <c r="G388" s="7" t="n"/>
    </row>
    <row r="389">
      <c r="A389" s="7" t="n"/>
      <c r="B389" s="7" t="n"/>
      <c r="C389" s="7" t="n"/>
      <c r="D389" s="7" t="n"/>
      <c r="E389" s="7" t="n"/>
      <c r="F389" s="7">
        <f>IF(AND(ISNUMBER(D389),ISNUMBER(E389)),IF(D389=E389,"yes","no"),"")</f>
        <v/>
      </c>
      <c r="G389" s="7" t="n"/>
    </row>
    <row r="390">
      <c r="A390" s="7" t="n"/>
      <c r="B390" s="7" t="n"/>
      <c r="C390" s="7" t="n"/>
      <c r="D390" s="7" t="n"/>
      <c r="E390" s="7" t="n"/>
      <c r="F390" s="7">
        <f>IF(AND(ISNUMBER(D390),ISNUMBER(E390)),IF(D390=E390,"yes","no"),"")</f>
        <v/>
      </c>
      <c r="G390" s="7" t="n"/>
    </row>
    <row r="391">
      <c r="A391" s="7" t="n"/>
      <c r="B391" s="7" t="n"/>
      <c r="C391" s="7" t="n"/>
      <c r="D391" s="7" t="n"/>
      <c r="E391" s="7" t="n"/>
      <c r="F391" s="7">
        <f>IF(AND(ISNUMBER(D391),ISNUMBER(E391)),IF(D391=E391,"yes","no"),"")</f>
        <v/>
      </c>
      <c r="G391" s="7" t="n"/>
    </row>
    <row r="392">
      <c r="A392" s="7" t="n"/>
      <c r="B392" s="7" t="n"/>
      <c r="C392" s="7" t="n"/>
      <c r="D392" s="7" t="n"/>
      <c r="E392" s="7" t="n"/>
      <c r="F392" s="7">
        <f>IF(AND(ISNUMBER(D392),ISNUMBER(E392)),IF(D392=E392,"yes","no"),"")</f>
        <v/>
      </c>
      <c r="G392" s="7" t="n"/>
    </row>
    <row r="393">
      <c r="A393" s="7" t="n"/>
      <c r="B393" s="7" t="n"/>
      <c r="C393" s="7" t="n"/>
      <c r="D393" s="7" t="n"/>
      <c r="E393" s="7" t="n"/>
      <c r="F393" s="7">
        <f>IF(AND(ISNUMBER(D393),ISNUMBER(E393)),IF(D393=E393,"yes","no"),"")</f>
        <v/>
      </c>
      <c r="G393" s="7" t="n"/>
    </row>
    <row r="394">
      <c r="A394" s="7" t="n"/>
      <c r="B394" s="7" t="n"/>
      <c r="C394" s="7" t="n"/>
      <c r="D394" s="7" t="n"/>
      <c r="E394" s="7" t="n"/>
      <c r="F394" s="7">
        <f>IF(AND(ISNUMBER(D394),ISNUMBER(E394)),IF(D394=E394,"yes","no"),"")</f>
        <v/>
      </c>
      <c r="G394" s="7" t="n"/>
    </row>
    <row r="395">
      <c r="A395" s="7" t="n"/>
      <c r="B395" s="7" t="n"/>
      <c r="C395" s="7" t="n"/>
      <c r="D395" s="7" t="n"/>
      <c r="E395" s="7" t="n"/>
      <c r="F395" s="7">
        <f>IF(AND(ISNUMBER(D395),ISNUMBER(E395)),IF(D395=E395,"yes","no"),"")</f>
        <v/>
      </c>
      <c r="G395" s="7" t="n"/>
    </row>
    <row r="396">
      <c r="A396" s="7" t="n"/>
      <c r="B396" s="7" t="n"/>
      <c r="C396" s="7" t="n"/>
      <c r="D396" s="7" t="n"/>
      <c r="E396" s="7" t="n"/>
      <c r="F396" s="7">
        <f>IF(AND(ISNUMBER(D396),ISNUMBER(E396)),IF(D396=E396,"yes","no"),"")</f>
        <v/>
      </c>
      <c r="G396" s="7" t="n"/>
    </row>
    <row r="397">
      <c r="A397" s="7" t="n"/>
      <c r="B397" s="7" t="n"/>
      <c r="C397" s="7" t="n"/>
      <c r="D397" s="7" t="n"/>
      <c r="E397" s="7" t="n"/>
      <c r="F397" s="7">
        <f>IF(AND(ISNUMBER(D397),ISNUMBER(E397)),IF(D397=E397,"yes","no"),"")</f>
        <v/>
      </c>
      <c r="G397" s="7" t="n"/>
    </row>
    <row r="398">
      <c r="A398" s="7" t="n"/>
      <c r="B398" s="7" t="n"/>
      <c r="C398" s="7" t="n"/>
      <c r="D398" s="7" t="n"/>
      <c r="E398" s="7" t="n"/>
      <c r="F398" s="7">
        <f>IF(AND(ISNUMBER(D398),ISNUMBER(E398)),IF(D398=E398,"yes","no"),"")</f>
        <v/>
      </c>
      <c r="G398" s="7" t="n"/>
    </row>
    <row r="399">
      <c r="A399" s="7" t="n"/>
      <c r="B399" s="7" t="n"/>
      <c r="C399" s="7" t="n"/>
      <c r="D399" s="7" t="n"/>
      <c r="E399" s="7" t="n"/>
      <c r="F399" s="7">
        <f>IF(AND(ISNUMBER(D399),ISNUMBER(E399)),IF(D399=E399,"yes","no"),"")</f>
        <v/>
      </c>
      <c r="G399" s="7" t="n"/>
    </row>
    <row r="400">
      <c r="A400" s="7" t="n"/>
      <c r="B400" s="7" t="n"/>
      <c r="C400" s="7" t="n"/>
      <c r="D400" s="7" t="n"/>
      <c r="E400" s="7" t="n"/>
      <c r="F400" s="7">
        <f>IF(AND(ISNUMBER(D400),ISNUMBER(E400)),IF(D400=E400,"yes","no"),"")</f>
        <v/>
      </c>
      <c r="G400" s="7" t="n"/>
    </row>
    <row r="401">
      <c r="A401" s="7" t="n"/>
      <c r="B401" s="7" t="n"/>
      <c r="C401" s="7" t="n"/>
      <c r="D401" s="7" t="n"/>
      <c r="E401" s="7" t="n"/>
      <c r="F401" s="7">
        <f>IF(AND(ISNUMBER(D401),ISNUMBER(E401)),IF(D401=E401,"yes","no"),"")</f>
        <v/>
      </c>
      <c r="G401" s="7" t="n"/>
    </row>
    <row r="402">
      <c r="A402" s="7" t="n"/>
      <c r="B402" s="7" t="n"/>
      <c r="C402" s="7" t="n"/>
      <c r="D402" s="7" t="n"/>
      <c r="E402" s="7" t="n"/>
      <c r="F402" s="7">
        <f>IF(AND(ISNUMBER(D402),ISNUMBER(E402)),IF(D402=E402,"yes","no"),"")</f>
        <v/>
      </c>
      <c r="G402" s="7" t="n"/>
    </row>
    <row r="403">
      <c r="A403" s="7" t="n"/>
      <c r="B403" s="7" t="n"/>
      <c r="C403" s="7" t="n"/>
      <c r="D403" s="7" t="n"/>
      <c r="E403" s="7" t="n"/>
      <c r="F403" s="7">
        <f>IF(AND(ISNUMBER(D403),ISNUMBER(E403)),IF(D403=E403,"yes","no"),"")</f>
        <v/>
      </c>
      <c r="G403" s="7" t="n"/>
    </row>
    <row r="404">
      <c r="A404" s="7" t="n"/>
      <c r="B404" s="7" t="n"/>
      <c r="C404" s="7" t="n"/>
      <c r="D404" s="7" t="n"/>
      <c r="E404" s="7" t="n"/>
      <c r="F404" s="7">
        <f>IF(AND(ISNUMBER(D404),ISNUMBER(E404)),IF(D404=E404,"yes","no"),"")</f>
        <v/>
      </c>
      <c r="G404" s="7" t="n"/>
    </row>
    <row r="405">
      <c r="A405" s="7" t="n"/>
      <c r="B405" s="7" t="n"/>
      <c r="C405" s="7" t="n"/>
      <c r="D405" s="7" t="n"/>
      <c r="E405" s="7" t="n"/>
      <c r="F405" s="7">
        <f>IF(AND(ISNUMBER(D405),ISNUMBER(E405)),IF(D405=E405,"yes","no"),"")</f>
        <v/>
      </c>
      <c r="G405" s="7" t="n"/>
    </row>
    <row r="406">
      <c r="A406" s="7" t="n"/>
      <c r="B406" s="7" t="n"/>
      <c r="C406" s="7" t="n"/>
      <c r="D406" s="7" t="n"/>
      <c r="E406" s="7" t="n"/>
      <c r="F406" s="7">
        <f>IF(AND(ISNUMBER(D406),ISNUMBER(E406)),IF(D406=E406,"yes","no"),"")</f>
        <v/>
      </c>
      <c r="G406" s="7" t="n"/>
    </row>
    <row r="407">
      <c r="A407" s="7" t="n"/>
      <c r="B407" s="7" t="n"/>
      <c r="C407" s="7" t="n"/>
      <c r="D407" s="7" t="n"/>
      <c r="E407" s="7" t="n"/>
      <c r="F407" s="7">
        <f>IF(AND(ISNUMBER(D407),ISNUMBER(E407)),IF(D407=E407,"yes","no"),"")</f>
        <v/>
      </c>
      <c r="G407" s="7" t="n"/>
    </row>
    <row r="408">
      <c r="A408" s="7" t="n"/>
      <c r="B408" s="7" t="n"/>
      <c r="C408" s="7" t="n"/>
      <c r="D408" s="7" t="n"/>
      <c r="E408" s="7" t="n"/>
      <c r="F408" s="7">
        <f>IF(AND(ISNUMBER(D408),ISNUMBER(E408)),IF(D408=E408,"yes","no"),"")</f>
        <v/>
      </c>
      <c r="G408" s="7" t="n"/>
    </row>
    <row r="409">
      <c r="A409" s="7" t="n"/>
      <c r="B409" s="7" t="n"/>
      <c r="C409" s="7" t="n"/>
      <c r="D409" s="7" t="n"/>
      <c r="E409" s="7" t="n"/>
      <c r="F409" s="7">
        <f>IF(AND(ISNUMBER(D409),ISNUMBER(E409)),IF(D409=E409,"yes","no"),"")</f>
        <v/>
      </c>
      <c r="G409" s="7" t="n"/>
    </row>
    <row r="410">
      <c r="A410" s="7" t="n"/>
      <c r="B410" s="7" t="n"/>
      <c r="C410" s="7" t="n"/>
      <c r="D410" s="7" t="n"/>
      <c r="E410" s="7" t="n"/>
      <c r="F410" s="7">
        <f>IF(AND(ISNUMBER(D410),ISNUMBER(E410)),IF(D410=E410,"yes","no"),"")</f>
        <v/>
      </c>
      <c r="G410" s="7" t="n"/>
    </row>
    <row r="411">
      <c r="A411" s="7" t="n"/>
      <c r="B411" s="7" t="n"/>
      <c r="C411" s="7" t="n"/>
      <c r="D411" s="7" t="n"/>
      <c r="E411" s="7" t="n"/>
      <c r="F411" s="7">
        <f>IF(AND(ISNUMBER(D411),ISNUMBER(E411)),IF(D411=E411,"yes","no"),"")</f>
        <v/>
      </c>
      <c r="G411" s="7" t="n"/>
    </row>
  </sheetData>
  <mergeCells count="2">
    <mergeCell ref="A2:G2"/>
    <mergeCell ref="A1:G1"/>
  </mergeCells>
  <dataValidations count="1">
    <dataValidation sqref="A12:A411" showDropDown="0" showInputMessage="0" showErrorMessage="0" allowBlank="1" type="list">
      <formula1>"31313,45544,45560"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28" customWidth="1" min="3" max="3"/>
    <col width="30" customWidth="1" min="4" max="4"/>
    <col width="35" customWidth="1" min="5" max="5"/>
    <col width="35" customWidth="1" min="6" max="6"/>
    <col width="35" customWidth="1" min="7" max="7"/>
    <col width="12" customWidth="1" min="8" max="8"/>
  </cols>
  <sheetData>
    <row r="1">
      <c r="A1" s="8" t="inlineStr">
        <is>
          <t>Phase 3A: Multiplicity and Roll-Up</t>
        </is>
      </c>
    </row>
    <row r="2" ht="36" customHeight="1">
      <c r="A2" s="5" t="inlineStr">
        <is>
          <t>Pick 5 parts that appear in multiple kits at varied quantities. For each, document how the model captures multiplicity now and what the rule should be.</t>
        </is>
      </c>
    </row>
    <row r="4" ht="30" customHeight="1">
      <c r="A4" s="6" t="inlineStr">
        <is>
          <t>#</t>
        </is>
      </c>
      <c r="B4" s="6" t="inlineStr">
        <is>
          <t>LDraw ID</t>
        </is>
      </c>
      <c r="C4" s="6" t="inlineStr">
        <is>
          <t>Part Name</t>
        </is>
      </c>
      <c r="D4" s="6" t="inlineStr">
        <is>
          <t>SysML File(s)</t>
        </is>
      </c>
      <c r="E4" s="6" t="inlineStr">
        <is>
          <t>How multiplicity is captured now</t>
        </is>
      </c>
      <c r="F4" s="6" t="inlineStr">
        <is>
          <t>Where you think it should be captured</t>
        </is>
      </c>
      <c r="G4" s="6" t="inlineStr">
        <is>
          <t>Proposed rule for the library</t>
        </is>
      </c>
      <c r="H4" s="6" t="inlineStr">
        <is>
          <t>Severity</t>
        </is>
      </c>
    </row>
    <row r="5" ht="70" customHeight="1">
      <c r="A5" s="7" t="n">
        <v>1</v>
      </c>
      <c r="B5" s="7" t="n"/>
      <c r="C5" s="7" t="n"/>
      <c r="D5" s="7" t="n"/>
      <c r="E5" s="7" t="n"/>
      <c r="F5" s="7" t="n"/>
      <c r="G5" s="7" t="n"/>
      <c r="H5" s="7" t="n"/>
    </row>
    <row r="6" ht="70" customHeight="1">
      <c r="A6" s="7" t="n">
        <v>2</v>
      </c>
      <c r="B6" s="7" t="n"/>
      <c r="C6" s="7" t="n"/>
      <c r="D6" s="7" t="n"/>
      <c r="E6" s="7" t="n"/>
      <c r="F6" s="7" t="n"/>
      <c r="G6" s="7" t="n"/>
      <c r="H6" s="7" t="n"/>
    </row>
    <row r="7" ht="70" customHeight="1">
      <c r="A7" s="7" t="n">
        <v>3</v>
      </c>
      <c r="B7" s="7" t="n"/>
      <c r="C7" s="7" t="n"/>
      <c r="D7" s="7" t="n"/>
      <c r="E7" s="7" t="n"/>
      <c r="F7" s="7" t="n"/>
      <c r="G7" s="7" t="n"/>
      <c r="H7" s="7" t="n"/>
    </row>
    <row r="8" ht="70" customHeight="1">
      <c r="A8" s="7" t="n">
        <v>4</v>
      </c>
      <c r="B8" s="7" t="n"/>
      <c r="C8" s="7" t="n"/>
      <c r="D8" s="7" t="n"/>
      <c r="E8" s="7" t="n"/>
      <c r="F8" s="7" t="n"/>
      <c r="G8" s="7" t="n"/>
      <c r="H8" s="7" t="n"/>
    </row>
    <row r="9" ht="70" customHeight="1">
      <c r="A9" s="7" t="n">
        <v>5</v>
      </c>
      <c r="B9" s="7" t="n"/>
      <c r="C9" s="7" t="n"/>
      <c r="D9" s="7" t="n"/>
      <c r="E9" s="7" t="n"/>
      <c r="F9" s="7" t="n"/>
      <c r="G9" s="7" t="n"/>
      <c r="H9" s="7" t="n"/>
    </row>
    <row r="10" ht="70" customHeight="1">
      <c r="A10" s="7" t="inlineStr"/>
      <c r="B10" s="7" t="n"/>
      <c r="C10" s="7" t="n"/>
      <c r="D10" s="7" t="n"/>
      <c r="E10" s="7" t="n"/>
      <c r="F10" s="7" t="n"/>
      <c r="G10" s="7" t="n"/>
      <c r="H10" s="7" t="n"/>
    </row>
    <row r="11" ht="70" customHeight="1">
      <c r="A11" s="7" t="inlineStr"/>
      <c r="B11" s="7" t="n"/>
      <c r="C11" s="7" t="n"/>
      <c r="D11" s="7" t="n"/>
      <c r="E11" s="7" t="n"/>
      <c r="F11" s="7" t="n"/>
      <c r="G11" s="7" t="n"/>
      <c r="H11" s="7" t="n"/>
    </row>
    <row r="12" ht="70" customHeight="1">
      <c r="A12" s="7" t="inlineStr"/>
      <c r="B12" s="7" t="n"/>
      <c r="C12" s="7" t="n"/>
      <c r="D12" s="7" t="n"/>
      <c r="E12" s="7" t="n"/>
      <c r="F12" s="7" t="n"/>
      <c r="G12" s="7" t="n"/>
      <c r="H12" s="7" t="n"/>
    </row>
  </sheetData>
  <mergeCells count="2">
    <mergeCell ref="A2:H2"/>
    <mergeCell ref="A1:H1"/>
  </mergeCells>
  <dataValidations count="1">
    <dataValidation sqref="H5:H12" showDropDown="0" showInputMessage="0" showErrorMessage="0" allowBlank="1" type="list">
      <formula1>"critical,major,minor"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6" customWidth="1" min="1" max="1"/>
    <col width="25" customWidth="1" min="2" max="2"/>
    <col width="30" customWidth="1" min="3" max="3"/>
    <col width="40" customWidth="1" min="4" max="4"/>
    <col width="40" customWidth="1" min="5" max="5"/>
    <col width="18" customWidth="1" min="6" max="6"/>
    <col width="30" customWidth="1" min="7" max="7"/>
    <col width="12" customWidth="1" min="8" max="8"/>
  </cols>
  <sheetData>
    <row r="1">
      <c r="A1" s="8" t="inlineStr">
        <is>
          <t>Phase 3B: Interface Capture</t>
        </is>
      </c>
    </row>
    <row r="2" ht="36" customHeight="1">
      <c r="A2" s="5" t="inlineStr">
        <is>
          <t>Pick 5 connection scenarios. Use the physical kit to verify mating. Document what the model says, what the kit does, and whether the model represents the constraint.</t>
        </is>
      </c>
    </row>
    <row r="4" ht="30" customHeight="1">
      <c r="A4" s="6" t="inlineStr">
        <is>
          <t>#</t>
        </is>
      </c>
      <c r="B4" s="6" t="inlineStr">
        <is>
          <t>Connection type</t>
        </is>
      </c>
      <c r="C4" s="6" t="inlineStr">
        <is>
          <t>Parts involved</t>
        </is>
      </c>
      <c r="D4" s="6" t="inlineStr">
        <is>
          <t>Physical behavior (from kit)</t>
        </is>
      </c>
      <c r="E4" s="6" t="inlineStr">
        <is>
          <t>What the SysML model says</t>
        </is>
      </c>
      <c r="F4" s="6" t="inlineStr">
        <is>
          <t>Constraint represented?</t>
        </is>
      </c>
      <c r="G4" s="6" t="inlineStr">
        <is>
          <t>Notes / proposed fix</t>
        </is>
      </c>
      <c r="H4" s="6" t="inlineStr">
        <is>
          <t>Severity</t>
        </is>
      </c>
    </row>
    <row r="5" ht="80" customHeight="1">
      <c r="A5" s="7" t="n">
        <v>1</v>
      </c>
      <c r="B5" s="7" t="inlineStr">
        <is>
          <t>pin-into-beam</t>
        </is>
      </c>
      <c r="C5" s="7" t="inlineStr">
        <is>
          <t>friction pin (LDraw 2780) + Technic beam</t>
        </is>
      </c>
      <c r="D5" s="7" t="n"/>
      <c r="E5" s="7" t="n"/>
      <c r="F5" s="7" t="n"/>
      <c r="G5" s="7" t="n"/>
      <c r="H5" s="7" t="n"/>
    </row>
    <row r="6" ht="80" customHeight="1">
      <c r="A6" s="7" t="n">
        <v>2</v>
      </c>
      <c r="B6" s="7" t="inlineStr">
        <is>
          <t>axle-into-gear</t>
        </is>
      </c>
      <c r="C6" s="7" t="inlineStr">
        <is>
          <t>axle + gear with cross-axle hole</t>
        </is>
      </c>
      <c r="D6" s="7" t="n"/>
      <c r="E6" s="7" t="n"/>
      <c r="F6" s="7" t="n"/>
      <c r="G6" s="7" t="n"/>
      <c r="H6" s="7" t="n"/>
    </row>
    <row r="7" ht="80" customHeight="1">
      <c r="A7" s="7" t="n">
        <v>3</v>
      </c>
      <c r="B7" s="7" t="inlineStr">
        <is>
          <t>gear-into-gear</t>
        </is>
      </c>
      <c r="C7" s="7" t="inlineStr">
        <is>
          <t>two spur gears (e.g., 24T + 40T)</t>
        </is>
      </c>
      <c r="D7" s="7" t="n"/>
      <c r="E7" s="7" t="n"/>
      <c r="F7" s="7" t="n"/>
      <c r="G7" s="7" t="n"/>
      <c r="H7" s="7" t="n"/>
    </row>
    <row r="8" ht="80" customHeight="1">
      <c r="A8" s="7" t="n">
        <v>4</v>
      </c>
      <c r="B8" s="7" t="inlineStr">
        <is>
          <t>motor-shaft-into-coupler</t>
        </is>
      </c>
      <c r="C8" s="7" t="inlineStr">
        <is>
          <t>Large servo motor + axle/coupler</t>
        </is>
      </c>
      <c r="D8" s="7" t="n"/>
      <c r="E8" s="7" t="n"/>
      <c r="F8" s="7" t="n"/>
      <c r="G8" s="7" t="n"/>
      <c r="H8" s="7" t="n"/>
    </row>
    <row r="9" ht="80" customHeight="1">
      <c r="A9" s="7" t="n">
        <v>5</v>
      </c>
      <c r="B9" s="7" t="inlineStr">
        <is>
          <t>cable-into-port</t>
        </is>
      </c>
      <c r="C9" s="7" t="inlineStr">
        <is>
          <t>EV3 cable + brick port or motor port</t>
        </is>
      </c>
      <c r="D9" s="7" t="n"/>
      <c r="E9" s="7" t="n"/>
      <c r="F9" s="7" t="n"/>
      <c r="G9" s="7" t="n"/>
      <c r="H9" s="7" t="n"/>
    </row>
  </sheetData>
  <mergeCells count="2">
    <mergeCell ref="A2:H2"/>
    <mergeCell ref="A1:H1"/>
  </mergeCells>
  <dataValidations count="2">
    <dataValidation sqref="F5:F9" showDropDown="0" showInputMessage="0" showErrorMessage="0" allowBlank="1" type="list">
      <formula1>"yes,partial,no,n/a"</formula1>
    </dataValidation>
    <dataValidation sqref="H5:H9" showDropDown="0" showInputMessage="0" showErrorMessage="0" allowBlank="1" type="list">
      <formula1>"critical,major,minor"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28" customWidth="1" min="3" max="3"/>
    <col width="22" customWidth="1" min="4" max="4"/>
    <col width="18" customWidth="1" min="5" max="5"/>
    <col width="18" customWidth="1" min="6" max="6"/>
    <col width="22" customWidth="1" min="7" max="7"/>
    <col width="10" customWidth="1" min="8" max="8"/>
    <col width="30" customWidth="1" min="9" max="9"/>
  </cols>
  <sheetData>
    <row r="1">
      <c r="A1" s="8" t="inlineStr">
        <is>
          <t>Phase 3C: Attribute Correctness with Physical Measurement</t>
        </is>
      </c>
    </row>
    <row r="2" ht="36" customHeight="1">
      <c r="A2" s="5" t="inlineStr">
        <is>
          <t>Pick 8 parts where attributes are measurable from the physical kit. Compare the model attribute against the measured value. Flag any attribute missing where a real-world specification exists.</t>
        </is>
      </c>
    </row>
    <row r="4" ht="30" customHeight="1">
      <c r="A4" s="6" t="inlineStr">
        <is>
          <t>#</t>
        </is>
      </c>
      <c r="B4" s="6" t="inlineStr">
        <is>
          <t>LDraw ID</t>
        </is>
      </c>
      <c r="C4" s="6" t="inlineStr">
        <is>
          <t>Part Name</t>
        </is>
      </c>
      <c r="D4" s="6" t="inlineStr">
        <is>
          <t>Attribute tested</t>
        </is>
      </c>
      <c r="E4" s="6" t="inlineStr">
        <is>
          <t>SysML value</t>
        </is>
      </c>
      <c r="F4" s="6" t="inlineStr">
        <is>
          <t>Measured value</t>
        </is>
      </c>
      <c r="G4" s="6" t="inlineStr">
        <is>
          <t>Method (count holes, protractor, ruler, datasheet)</t>
        </is>
      </c>
      <c r="H4" s="6" t="inlineStr">
        <is>
          <t>Match?</t>
        </is>
      </c>
      <c r="I4" s="6" t="inlineStr">
        <is>
          <t>Notes</t>
        </is>
      </c>
    </row>
    <row r="5" ht="50" customHeight="1">
      <c r="A5" s="7" t="n">
        <v>1</v>
      </c>
      <c r="B5" s="7" t="inlineStr"/>
      <c r="C5" s="7" t="inlineStr">
        <is>
          <t>Beam (any straight beam)</t>
        </is>
      </c>
      <c r="D5" s="7" t="inlineStr">
        <is>
          <t>length in modules</t>
        </is>
      </c>
      <c r="E5" s="7" t="inlineStr"/>
      <c r="F5" s="7" t="inlineStr"/>
      <c r="G5" s="7" t="inlineStr">
        <is>
          <t>count holes x 8 mm</t>
        </is>
      </c>
      <c r="H5" s="7" t="n"/>
      <c r="I5" s="7" t="n"/>
    </row>
    <row r="6" ht="50" customHeight="1">
      <c r="A6" s="7" t="n">
        <v>2</v>
      </c>
      <c r="B6" s="7" t="inlineStr"/>
      <c r="C6" s="7" t="inlineStr">
        <is>
          <t>Bracket (any angular)</t>
        </is>
      </c>
      <c r="D6" s="7" t="inlineStr">
        <is>
          <t>angle</t>
        </is>
      </c>
      <c r="E6" s="7" t="inlineStr"/>
      <c r="F6" s="7" t="inlineStr"/>
      <c r="G6" s="7" t="inlineStr">
        <is>
          <t>protractor or known-angle reference</t>
        </is>
      </c>
      <c r="H6" s="7" t="n"/>
      <c r="I6" s="7" t="n"/>
    </row>
    <row r="7" ht="50" customHeight="1">
      <c r="A7" s="7" t="n">
        <v>3</v>
      </c>
      <c r="B7" s="7" t="inlineStr"/>
      <c r="C7" s="7" t="inlineStr">
        <is>
          <t>Axle</t>
        </is>
      </c>
      <c r="D7" s="7" t="inlineStr">
        <is>
          <t>length in studs</t>
        </is>
      </c>
      <c r="E7" s="7" t="inlineStr"/>
      <c r="F7" s="7" t="inlineStr"/>
      <c r="G7" s="7" t="inlineStr">
        <is>
          <t>count studs</t>
        </is>
      </c>
      <c r="H7" s="7" t="n"/>
      <c r="I7" s="7" t="n"/>
    </row>
    <row r="8" ht="50" customHeight="1">
      <c r="A8" s="7" t="n">
        <v>4</v>
      </c>
      <c r="B8" s="7" t="inlineStr"/>
      <c r="C8" s="7" t="inlineStr">
        <is>
          <t>Spur gear</t>
        </is>
      </c>
      <c r="D8" s="7" t="inlineStr">
        <is>
          <t>tooth count</t>
        </is>
      </c>
      <c r="E8" s="7" t="inlineStr"/>
      <c r="F8" s="7" t="inlineStr"/>
      <c r="G8" s="7" t="inlineStr">
        <is>
          <t>count teeth</t>
        </is>
      </c>
      <c r="H8" s="7" t="n"/>
      <c r="I8" s="7" t="n"/>
    </row>
    <row r="9" ht="50" customHeight="1">
      <c r="A9" s="7" t="n">
        <v>5</v>
      </c>
      <c r="B9" s="7" t="inlineStr"/>
      <c r="C9" s="7" t="inlineStr">
        <is>
          <t>Cable</t>
        </is>
      </c>
      <c r="D9" s="7" t="inlineStr">
        <is>
          <t>length</t>
        </is>
      </c>
      <c r="E9" s="7" t="inlineStr"/>
      <c r="F9" s="7" t="inlineStr"/>
      <c r="G9" s="7" t="inlineStr">
        <is>
          <t>ruler</t>
        </is>
      </c>
      <c r="H9" s="7" t="n"/>
      <c r="I9" s="7" t="n"/>
    </row>
    <row r="10" ht="50" customHeight="1">
      <c r="A10" s="7" t="n">
        <v>6</v>
      </c>
      <c r="B10" s="7" t="inlineStr"/>
      <c r="C10" s="7" t="inlineStr">
        <is>
          <t>EV3 large servo motor</t>
        </is>
      </c>
      <c r="D10" s="7" t="inlineStr">
        <is>
          <t>rated speed or stall torque</t>
        </is>
      </c>
      <c r="E10" s="7" t="inlineStr"/>
      <c r="F10" s="7" t="inlineStr"/>
      <c r="G10" s="7" t="inlineStr">
        <is>
          <t>LEGO datasheet</t>
        </is>
      </c>
      <c r="H10" s="7" t="n"/>
      <c r="I10" s="7" t="n"/>
    </row>
    <row r="11" ht="50" customHeight="1">
      <c r="A11" s="7" t="n">
        <v>7</v>
      </c>
      <c r="B11" s="7" t="inlineStr"/>
      <c r="C11" s="7" t="inlineStr">
        <is>
          <t>Color sensor</t>
        </is>
      </c>
      <c r="D11" s="7" t="inlineStr">
        <is>
          <t>wavelength range or modes</t>
        </is>
      </c>
      <c r="E11" s="7" t="inlineStr"/>
      <c r="F11" s="7" t="inlineStr"/>
      <c r="G11" s="7" t="inlineStr">
        <is>
          <t>LEGO datasheet</t>
        </is>
      </c>
      <c r="H11" s="7" t="n"/>
      <c r="I11" s="7" t="n"/>
    </row>
    <row r="12" ht="50" customHeight="1">
      <c r="A12" s="7" t="n">
        <v>8</v>
      </c>
      <c r="B12" s="7" t="inlineStr"/>
      <c r="C12" s="7" t="inlineStr">
        <is>
          <t>Tire</t>
        </is>
      </c>
      <c r="D12" s="7" t="inlineStr">
        <is>
          <t>outer diameter</t>
        </is>
      </c>
      <c r="E12" s="7" t="inlineStr"/>
      <c r="F12" s="7" t="inlineStr"/>
      <c r="G12" s="7" t="inlineStr">
        <is>
          <t>ruler</t>
        </is>
      </c>
      <c r="H12" s="7" t="n"/>
      <c r="I12" s="7" t="n"/>
    </row>
  </sheetData>
  <mergeCells count="2">
    <mergeCell ref="A1:I1"/>
    <mergeCell ref="A2:I2"/>
  </mergeCells>
  <dataValidations count="1">
    <dataValidation sqref="H5:H12" showDropDown="0" showInputMessage="0" showErrorMessage="0" allowBlank="1" type="list">
      <formula1>"yes,close,no,missing-attribute"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2" customWidth="1" min="1" max="1"/>
    <col width="60" customWidth="1" min="2" max="2"/>
    <col width="50" customWidth="1" min="3" max="3"/>
  </cols>
  <sheetData>
    <row r="1">
      <c r="A1" s="1" t="inlineStr">
        <is>
          <t>Verdict Summary</t>
        </is>
      </c>
    </row>
    <row r="3">
      <c r="A3" s="2" t="inlineStr">
        <is>
          <t>Verdict</t>
        </is>
      </c>
      <c r="B3" s="9" t="inlineStr"/>
    </row>
    <row r="4" ht="80" customHeight="1">
      <c r="A4" s="2" t="inlineStr">
        <is>
          <t>Verdict reasoning</t>
        </is>
      </c>
      <c r="B4" s="3" t="inlineStr"/>
    </row>
    <row r="6">
      <c r="A6" s="2" t="inlineStr">
        <is>
          <t>Top findings supporting the verdict</t>
        </is>
      </c>
    </row>
    <row r="7" ht="30" customHeight="1">
      <c r="A7" s="6" t="inlineStr">
        <is>
          <t>Rank</t>
        </is>
      </c>
      <c r="B7" s="6" t="inlineStr">
        <is>
          <t>Finding ID (F-NN)</t>
        </is>
      </c>
      <c r="C7" s="6" t="inlineStr">
        <is>
          <t>Why this finding drives the verdict</t>
        </is>
      </c>
    </row>
    <row r="8" ht="60" customHeight="1">
      <c r="A8" s="7" t="n">
        <v>1</v>
      </c>
      <c r="B8" s="7" t="n"/>
      <c r="C8" s="7" t="n"/>
    </row>
    <row r="9" ht="60" customHeight="1">
      <c r="A9" s="7" t="n">
        <v>2</v>
      </c>
      <c r="B9" s="7" t="n"/>
      <c r="C9" s="7" t="n"/>
    </row>
    <row r="10" ht="60" customHeight="1">
      <c r="A10" s="7" t="n">
        <v>3</v>
      </c>
      <c r="B10" s="7" t="n"/>
      <c r="C10" s="7" t="n"/>
    </row>
    <row r="11" ht="60" customHeight="1">
      <c r="A11" s="7" t="n">
        <v>4</v>
      </c>
      <c r="B11" s="7" t="n"/>
      <c r="C11" s="7" t="n"/>
    </row>
    <row r="12" ht="60" customHeight="1">
      <c r="A12" s="7" t="n">
        <v>5</v>
      </c>
      <c r="B12" s="7" t="n"/>
      <c r="C12" s="7" t="n"/>
    </row>
    <row r="14">
      <c r="A14" s="2" t="inlineStr">
        <is>
          <t>Open questions for PostWach</t>
        </is>
      </c>
    </row>
    <row r="15" ht="50" customHeight="1">
      <c r="A15" s="7" t="inlineStr">
        <is>
          <t>Q1</t>
        </is>
      </c>
      <c r="B15" s="7" t="n"/>
      <c r="C15" s="7" t="n"/>
    </row>
    <row r="16" ht="50" customHeight="1">
      <c r="A16" s="7" t="inlineStr">
        <is>
          <t>Q2</t>
        </is>
      </c>
      <c r="B16" s="7" t="n"/>
      <c r="C16" s="7" t="n"/>
    </row>
    <row r="17" ht="50" customHeight="1">
      <c r="A17" s="7" t="inlineStr">
        <is>
          <t>Q3</t>
        </is>
      </c>
      <c r="B17" s="7" t="n"/>
      <c r="C17" s="7" t="n"/>
    </row>
    <row r="18" ht="50" customHeight="1">
      <c r="A18" s="7" t="inlineStr">
        <is>
          <t>Q4</t>
        </is>
      </c>
      <c r="B18" s="7" t="n"/>
      <c r="C18" s="7" t="n"/>
    </row>
    <row r="19" ht="50" customHeight="1">
      <c r="A19" s="7" t="inlineStr">
        <is>
          <t>Q5</t>
        </is>
      </c>
      <c r="B19" s="7" t="n"/>
      <c r="C19" s="7" t="n"/>
    </row>
    <row r="21">
      <c r="A21" s="2" t="inlineStr">
        <is>
          <t>Method notes</t>
        </is>
      </c>
      <c r="B21" s="5" t="inlineStr">
        <is>
          <t>Tools used, scripts written, total hours spent.</t>
        </is>
      </c>
    </row>
    <row r="22" ht="100" customHeight="1">
      <c r="B22" t="inlineStr"/>
    </row>
  </sheetData>
  <mergeCells count="1">
    <mergeCell ref="A1:C1"/>
  </mergeCells>
  <dataValidations count="1">
    <dataValidation sqref="B3" showDropDown="0" showInputMessage="0" showErrorMessage="0" allowBlank="1" type="list">
      <formula1>"extend,refactor,rebuild"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2026-04-29T13:59:23Z</dcterms:created>
  <dcterms:modified xmlns:dcterms="http://purl.org/dc/terms/" xmlns:xsi="http://www.w3.org/2001/XMLSchema-instance" xsi:type="dcterms:W3CDTF">2026-04-29T13:59:23Z</dcterms:modified>
</cp:coreProperties>
</file>