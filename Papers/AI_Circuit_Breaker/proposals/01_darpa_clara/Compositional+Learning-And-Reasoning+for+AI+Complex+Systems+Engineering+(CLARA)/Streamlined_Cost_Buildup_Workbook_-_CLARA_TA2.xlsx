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https://darpagcchigh.sharepoint.us/sites/DSO/Program Lifecycle/CLARA/Program Documents/Solicitation/"/>
    </mc:Choice>
  </mc:AlternateContent>
  <xr:revisionPtr revIDLastSave="155" documentId="8_{5B96FB65-C785-4C73-B07B-712F3DABCA52}" xr6:coauthVersionLast="47" xr6:coauthVersionMax="47" xr10:uidLastSave="{502934B9-EEF3-4388-BB10-DE7B8AB49CD9}"/>
  <bookViews>
    <workbookView xWindow="-110" yWindow="30" windowWidth="19420" windowHeight="11360" tabRatio="751" firstSheet="6" activeTab="6" xr2:uid="{00000000-000D-0000-FFFF-FFFF00000000}"/>
  </bookViews>
  <sheets>
    <sheet name="Change Notes" sheetId="40" state="hidden" r:id="rId1"/>
    <sheet name="Constants" sheetId="34" state="hidden" r:id="rId2"/>
    <sheet name="Summary Cost Table" sheetId="37" state="hidden" r:id="rId3"/>
    <sheet name="Total Amount" sheetId="21" r:id="rId4"/>
    <sheet name="Equipment" sheetId="14" r:id="rId5"/>
    <sheet name="Travel" sheetId="47" r:id="rId6"/>
    <sheet name="ScheduleOfMilestonesAndPayments" sheetId="48" r:id="rId7"/>
  </sheets>
  <externalReferences>
    <externalReference r:id="rId8"/>
  </externalReferences>
  <definedNames>
    <definedName name="AcademiaAdministrativeSupportCategories">Constants!$A$58:$A$59</definedName>
    <definedName name="AcademiaConsultantCategories">Constants!$A$55</definedName>
    <definedName name="AcademiaLaborGroups" localSheetId="5">#REF!</definedName>
    <definedName name="AcademiaLaborGroups">Constants!$A$21:$A$24</definedName>
    <definedName name="AcademiaProjectManagementCategories">Constants!$A$35:$A$38</definedName>
    <definedName name="AcademiaResearchCategories">Constants!$A$41:$A$52</definedName>
    <definedName name="ff.dlrs.Base">'Total Amount'!$E$62</definedName>
    <definedName name="ff.dlrs.Op1">'Total Amount'!$H$62</definedName>
    <definedName name="ff.dlrs.Op2">'Total Amount'!#REF!</definedName>
    <definedName name="ff.dlrs.Op3">'Total Amount'!#REF!</definedName>
    <definedName name="ff.dlrs.Op4">'Total Amount'!#REF!</definedName>
    <definedName name="ff.dlrs.Op5">'Total Amount'!#REF!</definedName>
    <definedName name="GeneralConsultantCategories">Constants!$A$107</definedName>
    <definedName name="GeneralLaborGroups" localSheetId="5">#REF!</definedName>
    <definedName name="GeneralLaborGroups">Constants!$A$27:$A$32</definedName>
    <definedName name="GeneralManufacturingCategories">Constants!$A$92:$A$103</definedName>
    <definedName name="GeneralProjectManagementCategories">Constants!$A$68:$A$73</definedName>
    <definedName name="GeneralScienceandEngineeringCategories">Constants!$A$76:$A$81</definedName>
    <definedName name="GeneralSoftwareDevelopmentCategories">Constants!$A$84:$A$89</definedName>
    <definedName name="GeneralSupportCategories">Constants!$A$62:$A$65</definedName>
    <definedName name="Indirect.Rate.Table">#REF!</definedName>
    <definedName name="IndirectRateCategories" localSheetId="5">#REF!</definedName>
    <definedName name="IndirectRateCategories">Constants!$A$113:$A$129</definedName>
    <definedName name="Labor.Rates.Table">#REF!</definedName>
    <definedName name="Labor_Cats_Sorted_Table">Constants!$A$111:$A$156</definedName>
    <definedName name="LaborCollection" localSheetId="5">#REF!</definedName>
    <definedName name="LaborCollection">Constants!$A$15</definedName>
    <definedName name="NoBusinessTypeSelected" localSheetId="5">#REF!</definedName>
    <definedName name="NoBusinessTypeSelected">Constants!$A$18</definedName>
    <definedName name="Offeror.Bus.Type" localSheetId="5">#REF!</definedName>
    <definedName name="Offeror.Bus.Type">#REF!</definedName>
    <definedName name="OfferorBusinessTypes" localSheetId="5">#REF!</definedName>
    <definedName name="OfferorBusinessTypes">Constants!$A$8:$A$12</definedName>
    <definedName name="OfferorBusType">#REF!</definedName>
    <definedName name="Period1_Label" localSheetId="5">#REF!</definedName>
    <definedName name="Period1_Label">#REF!</definedName>
    <definedName name="Period2_Label" localSheetId="5">#REF!</definedName>
    <definedName name="Period2_Label">#REF!</definedName>
    <definedName name="Period3_Label" localSheetId="5">#REF!</definedName>
    <definedName name="Period3_Label">#REF!</definedName>
    <definedName name="Period4_Label" localSheetId="5">#REF!</definedName>
    <definedName name="Period4_Label">#REF!</definedName>
    <definedName name="Period5_Label" localSheetId="5">#REF!</definedName>
    <definedName name="Period5_Label">#REF!</definedName>
    <definedName name="Period6_Label" localSheetId="5">#REF!</definedName>
    <definedName name="Period6_Label">#REF!</definedName>
    <definedName name="SBIRSTTRPhaseChoices" localSheetId="5">[1]Constants!$A$134:$A$137</definedName>
    <definedName name="SBIRSTTRPhaseChoices">Constants!$A$135:$A$138</definedName>
    <definedName name="sc.dlrs.Base">'Total Amount'!$E$55</definedName>
    <definedName name="sc.dlrs.Op1">'Total Amount'!$H$55</definedName>
    <definedName name="sc.dlrs.Op2">'Total Amount'!#REF!</definedName>
    <definedName name="sc.dlrs.Op3">'Total Amount'!#REF!</definedName>
    <definedName name="sc.dlrs.Op4">'Total Amount'!#REF!</definedName>
    <definedName name="sc.dlrs.Op5">'Total Amount'!#REF!</definedName>
    <definedName name="SmallBusinessSizeChoices" localSheetId="5">#REF!</definedName>
    <definedName name="SmallBusinessSizeChoices">Constants!$A$143:$A$146</definedName>
    <definedName name="SpecificAnnouncementNumber">Constants!$A$5</definedName>
    <definedName name="SpreadsheetVersionNumber">Constants!$A$2</definedName>
    <definedName name="tcc.dlrs.Base">'Total Amount'!$E$47</definedName>
    <definedName name="tcc.dlrs.Op1">'Total Amount'!$H$47</definedName>
    <definedName name="tcc.dlrs.Op2">'Total Amount'!#REF!</definedName>
    <definedName name="tcc.dlrs.Op3">'Total Amount'!#REF!</definedName>
    <definedName name="tcc.dlrs.Op4">'Total Amount'!#REF!</definedName>
    <definedName name="tcc.dlrs.Op5">'Total Amount'!#REF!</definedName>
    <definedName name="tcm.dlrs.Base">'Total Amount'!$E$60</definedName>
    <definedName name="tcm.dlrs.Op1">'Total Amount'!$H$60</definedName>
    <definedName name="tcm.dlrs.Op2">'Total Amount'!#REF!</definedName>
    <definedName name="tcm.dlrs.Op3">'Total Amount'!#REF!</definedName>
    <definedName name="tcm.dlrs.Op4">'Total Amount'!#REF!</definedName>
    <definedName name="tcm.dlrs.Op5">'Total Amount'!#REF!</definedName>
    <definedName name="tdlc.dlrs.Base">'Total Amount'!$E$38</definedName>
    <definedName name="tdlc.dlrs.Op1">'Total Amount'!$H$38</definedName>
    <definedName name="tdlc.dlrs.Op2">'Total Amount'!#REF!</definedName>
    <definedName name="tdlc.dlrs.Op3">'Total Amount'!#REF!</definedName>
    <definedName name="tdlc.dlrs.Op4">'Total Amount'!#REF!</definedName>
    <definedName name="tdlc.dlrs.Op5">'Total Amount'!#REF!</definedName>
    <definedName name="tdlc.hrs.Base">'Total Amount'!$C$38</definedName>
    <definedName name="tdlc.hrs.Op1">'Total Amount'!$F$38</definedName>
    <definedName name="tdlc.hrs.Op2">'Total Amount'!#REF!</definedName>
    <definedName name="tdlc.hrs.Op3">'Total Amount'!#REF!</definedName>
    <definedName name="tdlc.hrs.Op4">'Total Amount'!#REF!</definedName>
    <definedName name="tdlc.hrs.Op5">'Total Amount'!#REF!</definedName>
    <definedName name="tecpff.dlrs.Base">'Total Amount'!$E$63</definedName>
    <definedName name="tecpff.dlrs.Op1">'Total Amount'!$H$63</definedName>
    <definedName name="tecpff.dlrs.Op2">'Total Amount'!#REF!</definedName>
    <definedName name="tecpff.dlrs.Op3">'Total Amount'!#REF!</definedName>
    <definedName name="tecpff.dlrs.Op4">'Total Amount'!#REF!</definedName>
    <definedName name="tecpff.dlrs.Op5">'Total Amount'!#REF!</definedName>
    <definedName name="tfbc.dlrs.Base">'Total Amount'!#REF!</definedName>
    <definedName name="tfbc.dlrs.Op1">'Total Amount'!#REF!</definedName>
    <definedName name="tfbc.dlrs.Op2">'Total Amount'!#REF!</definedName>
    <definedName name="tfbc.dlrs.Op3">'Total Amount'!#REF!</definedName>
    <definedName name="tfbc.dlrs.Op4">'Total Amount'!#REF!</definedName>
    <definedName name="tfbc.dlrs.Op5">'Total Amount'!#REF!</definedName>
    <definedName name="tgac.dlrs.Base">'Total Amount'!$E$57</definedName>
    <definedName name="tgac.dlrs.Op1">'Total Amount'!$H$57</definedName>
    <definedName name="tgac.dlrs.Op2">'Total Amount'!#REF!</definedName>
    <definedName name="tgac.dlrs.Op3">'Total Amount'!#REF!</definedName>
    <definedName name="tgac.dlrs.Op4">'Total Amount'!#REF!</definedName>
    <definedName name="tgac.dlrs.Op5">'Total Amount'!#REF!</definedName>
    <definedName name="tloc.dlrs.Base">'Total Amount'!#REF!</definedName>
    <definedName name="tloc.dlrs.Op1">'Total Amount'!#REF!</definedName>
    <definedName name="tloc.dlrs.Op2">'Total Amount'!#REF!</definedName>
    <definedName name="tloc.dlrs.Op3">'Total Amount'!#REF!</definedName>
    <definedName name="tloc.dlrs.Op4">'Total Amount'!#REF!</definedName>
    <definedName name="tloc.dlrs.Op5">'Total Amount'!#REF!</definedName>
    <definedName name="tmhc.dlrs.Base">'Total Amount'!$E$54</definedName>
    <definedName name="tmhc.dlrs.Op1">'Total Amount'!$H$54</definedName>
    <definedName name="tmhc.dlrs.Op2">'Total Amount'!#REF!</definedName>
    <definedName name="tmhc.dlrs.Op3">'Total Amount'!#REF!</definedName>
    <definedName name="tmhc.dlrs.Op4">'Total Amount'!#REF!</definedName>
    <definedName name="tmhc.dlrs.Op5">'Total Amount'!#REF!</definedName>
    <definedName name="tmmc.dlrs.Base">'Total Amount'!$E$54</definedName>
    <definedName name="tmmc.dlrs.Op1">'Total Amount'!$H$54</definedName>
    <definedName name="tmmc.dlrs.Op2">'Total Amount'!#REF!</definedName>
    <definedName name="tmmc.dlrs.Op3">'Total Amount'!#REF!</definedName>
    <definedName name="tmmc.dlrs.Op4">'Total Amount'!#REF!</definedName>
    <definedName name="tmmc.dlrs.Op5">'Total Amount'!#REF!</definedName>
    <definedName name="todc.dlrs.Base">'Total Amount'!$E$52</definedName>
    <definedName name="todc.dlrs.Op1">'Total Amount'!$H$52</definedName>
    <definedName name="todc.dlrs.Op2">'Total Amount'!#REF!</definedName>
    <definedName name="todc.dlrs.Op3">'Total Amount'!#REF!</definedName>
    <definedName name="todc.dlrs.Op4">'Total Amount'!#REF!</definedName>
    <definedName name="todc.dlrs.Op5">'Total Amount'!#REF!</definedName>
    <definedName name="tsc.dlrs.Base">'Total Amount'!$E$45</definedName>
    <definedName name="tsc.dlrs.Op1">'Total Amount'!$H$45</definedName>
    <definedName name="tsc.dlrs.Op2">'Total Amount'!#REF!</definedName>
    <definedName name="tsc.dlrs.Op3">'Total Amount'!#REF!</definedName>
    <definedName name="tsc.dlrs.Op4">'Total Amount'!#REF!</definedName>
    <definedName name="tsc.dlrs.Op5">'Total Amount'!#REF!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48" l="1"/>
  <c r="E13" i="48"/>
  <c r="F9" i="48"/>
  <c r="E9" i="48"/>
  <c r="E15" i="48" l="1"/>
  <c r="F15" i="48"/>
  <c r="H58" i="21"/>
  <c r="H55" i="21"/>
  <c r="E58" i="21"/>
  <c r="E55" i="21"/>
  <c r="H50" i="21"/>
  <c r="E50" i="21"/>
  <c r="J50" i="21" s="1"/>
  <c r="Y13" i="47"/>
  <c r="U13" i="47"/>
  <c r="Q13" i="47"/>
  <c r="R13" i="47" s="1"/>
  <c r="P13" i="47"/>
  <c r="N13" i="47"/>
  <c r="L13" i="47"/>
  <c r="J13" i="47"/>
  <c r="I13" i="47"/>
  <c r="H13" i="47"/>
  <c r="Y12" i="47"/>
  <c r="U12" i="47"/>
  <c r="Q12" i="47"/>
  <c r="R12" i="47" s="1"/>
  <c r="P12" i="47"/>
  <c r="N12" i="47"/>
  <c r="L12" i="47"/>
  <c r="J12" i="47"/>
  <c r="I12" i="47"/>
  <c r="H12" i="47"/>
  <c r="Y11" i="47"/>
  <c r="U11" i="47"/>
  <c r="Q11" i="47"/>
  <c r="R11" i="47" s="1"/>
  <c r="P11" i="47"/>
  <c r="N11" i="47"/>
  <c r="L11" i="47"/>
  <c r="J11" i="47"/>
  <c r="I11" i="47"/>
  <c r="H11" i="47"/>
  <c r="Y10" i="47"/>
  <c r="U10" i="47"/>
  <c r="Q10" i="47"/>
  <c r="R10" i="47" s="1"/>
  <c r="P10" i="47"/>
  <c r="N10" i="47"/>
  <c r="L10" i="47"/>
  <c r="J10" i="47"/>
  <c r="I10" i="47"/>
  <c r="H10" i="47"/>
  <c r="Y8" i="47"/>
  <c r="AB8" i="47" s="1"/>
  <c r="AC8" i="47" s="1"/>
  <c r="U8" i="47"/>
  <c r="R8" i="47"/>
  <c r="Q8" i="47"/>
  <c r="P8" i="47"/>
  <c r="N8" i="47"/>
  <c r="L8" i="47"/>
  <c r="J8" i="47"/>
  <c r="I8" i="47"/>
  <c r="H8" i="47"/>
  <c r="Y7" i="47"/>
  <c r="AB7" i="47" s="1"/>
  <c r="AC7" i="47" s="1"/>
  <c r="U7" i="47"/>
  <c r="R7" i="47"/>
  <c r="Q7" i="47"/>
  <c r="P7" i="47"/>
  <c r="N7" i="47"/>
  <c r="L7" i="47"/>
  <c r="J7" i="47"/>
  <c r="I7" i="47"/>
  <c r="H7" i="47"/>
  <c r="Y6" i="47"/>
  <c r="AB6" i="47" s="1"/>
  <c r="AC6" i="47" s="1"/>
  <c r="U6" i="47"/>
  <c r="R6" i="47"/>
  <c r="Q6" i="47"/>
  <c r="P6" i="47"/>
  <c r="N6" i="47"/>
  <c r="L6" i="47"/>
  <c r="J6" i="47"/>
  <c r="I6" i="47"/>
  <c r="H6" i="47"/>
  <c r="Y5" i="47"/>
  <c r="AB5" i="47" s="1"/>
  <c r="AC5" i="47" s="1"/>
  <c r="U5" i="47"/>
  <c r="R5" i="47"/>
  <c r="Q5" i="47"/>
  <c r="P5" i="47"/>
  <c r="N5" i="47"/>
  <c r="L5" i="47"/>
  <c r="J5" i="47"/>
  <c r="I5" i="47"/>
  <c r="H5" i="47"/>
  <c r="AB12" i="47" l="1"/>
  <c r="AC12" i="47" s="1"/>
  <c r="AC9" i="47"/>
  <c r="AB11" i="47"/>
  <c r="AC11" i="47" s="1"/>
  <c r="AB10" i="47"/>
  <c r="AC10" i="47" s="1"/>
  <c r="AB13" i="47"/>
  <c r="AC13" i="47" s="1"/>
  <c r="AC14" i="47" l="1"/>
  <c r="AC15" i="47"/>
  <c r="H49" i="21" l="1"/>
  <c r="E49" i="21"/>
  <c r="J42" i="21"/>
  <c r="J43" i="21"/>
  <c r="J44" i="21"/>
  <c r="J41" i="21"/>
  <c r="H45" i="21"/>
  <c r="E45" i="21"/>
  <c r="E14" i="21" l="1"/>
  <c r="H14" i="21"/>
  <c r="E15" i="21"/>
  <c r="H15" i="21"/>
  <c r="E16" i="21"/>
  <c r="H16" i="21"/>
  <c r="E17" i="21"/>
  <c r="H17" i="21"/>
  <c r="E18" i="21"/>
  <c r="H18" i="21"/>
  <c r="E19" i="21"/>
  <c r="H19" i="21"/>
  <c r="E20" i="21"/>
  <c r="H20" i="21"/>
  <c r="E21" i="21"/>
  <c r="H21" i="21"/>
  <c r="E22" i="21"/>
  <c r="H22" i="21"/>
  <c r="E23" i="21"/>
  <c r="H23" i="21"/>
  <c r="E24" i="21"/>
  <c r="H24" i="21"/>
  <c r="E25" i="21"/>
  <c r="H25" i="21"/>
  <c r="E26" i="21"/>
  <c r="H26" i="21"/>
  <c r="E27" i="21"/>
  <c r="H27" i="21"/>
  <c r="E28" i="21"/>
  <c r="H28" i="21"/>
  <c r="E29" i="21"/>
  <c r="H29" i="21"/>
  <c r="E30" i="21"/>
  <c r="H30" i="21"/>
  <c r="E31" i="21"/>
  <c r="H31" i="21"/>
  <c r="E32" i="21"/>
  <c r="H32" i="21"/>
  <c r="E33" i="21"/>
  <c r="H33" i="21"/>
  <c r="E34" i="21"/>
  <c r="H34" i="21"/>
  <c r="E35" i="21"/>
  <c r="H35" i="21"/>
  <c r="E36" i="21"/>
  <c r="H36" i="21"/>
  <c r="H37" i="21"/>
  <c r="H60" i="21"/>
  <c r="E60" i="21"/>
  <c r="H57" i="21"/>
  <c r="E57" i="21"/>
  <c r="H54" i="21"/>
  <c r="E54" i="21"/>
  <c r="H47" i="21"/>
  <c r="E47" i="21"/>
  <c r="I28" i="21" l="1"/>
  <c r="I22" i="21"/>
  <c r="I37" i="21"/>
  <c r="E37" i="21"/>
  <c r="I19" i="21"/>
  <c r="I31" i="21"/>
  <c r="J60" i="21"/>
  <c r="I32" i="21"/>
  <c r="I29" i="21"/>
  <c r="I17" i="21"/>
  <c r="I20" i="21"/>
  <c r="I35" i="21"/>
  <c r="I33" i="21"/>
  <c r="I16" i="21"/>
  <c r="J54" i="21"/>
  <c r="I15" i="21"/>
  <c r="I30" i="21"/>
  <c r="I26" i="21"/>
  <c r="I34" i="21"/>
  <c r="I23" i="21"/>
  <c r="I14" i="21"/>
  <c r="J57" i="21"/>
  <c r="I21" i="21"/>
  <c r="I18" i="21"/>
  <c r="I36" i="21"/>
  <c r="I24" i="21"/>
  <c r="J47" i="21"/>
  <c r="I27" i="21"/>
  <c r="I25" i="21"/>
  <c r="J51" i="21"/>
  <c r="H1" i="37" l="1"/>
  <c r="G1" i="37"/>
  <c r="F1" i="37"/>
  <c r="E1" i="37"/>
  <c r="D1" i="37"/>
  <c r="C1" i="37"/>
  <c r="H52" i="21" l="1"/>
  <c r="A39" i="21" l="1"/>
  <c r="H38" i="21" l="1"/>
  <c r="H39" i="21" l="1"/>
  <c r="J30" i="21" l="1"/>
  <c r="J26" i="21"/>
  <c r="J22" i="21"/>
  <c r="J34" i="21"/>
  <c r="J36" i="21"/>
  <c r="J32" i="21"/>
  <c r="J28" i="21"/>
  <c r="J24" i="21"/>
  <c r="J20" i="21"/>
  <c r="J19" i="21"/>
  <c r="J18" i="21"/>
  <c r="J17" i="21"/>
  <c r="J16" i="21"/>
  <c r="J15" i="21"/>
  <c r="J35" i="21"/>
  <c r="J31" i="21"/>
  <c r="J27" i="21"/>
  <c r="J23" i="21"/>
  <c r="J37" i="21"/>
  <c r="J33" i="21"/>
  <c r="J29" i="21"/>
  <c r="J25" i="21"/>
  <c r="J21" i="21"/>
  <c r="C14" i="34"/>
  <c r="H61" i="21" l="1"/>
  <c r="A15" i="34" l="1"/>
  <c r="H63" i="21" l="1"/>
  <c r="J14" i="21"/>
  <c r="I8" i="14" l="1"/>
  <c r="I6" i="14"/>
  <c r="I5" i="14"/>
  <c r="I4" i="14"/>
  <c r="C2" i="37"/>
  <c r="D2" i="37"/>
  <c r="E2" i="37"/>
  <c r="F2" i="37"/>
  <c r="G2" i="37"/>
  <c r="H2" i="37"/>
  <c r="J49" i="21" l="1"/>
  <c r="E52" i="21"/>
  <c r="J52" i="21" s="1"/>
  <c r="I9" i="14"/>
  <c r="F38" i="21"/>
  <c r="E39" i="21"/>
  <c r="J45" i="21"/>
  <c r="E6" i="37"/>
  <c r="F10" i="37"/>
  <c r="G12" i="37"/>
  <c r="F6" i="37"/>
  <c r="G6" i="37"/>
  <c r="G10" i="37"/>
  <c r="D10" i="37"/>
  <c r="H6" i="37"/>
  <c r="I10" i="37"/>
  <c r="I12" i="37"/>
  <c r="H10" i="37"/>
  <c r="F12" i="37"/>
  <c r="E13" i="37"/>
  <c r="E16" i="37"/>
  <c r="E12" i="37"/>
  <c r="E10" i="37"/>
  <c r="H16" i="37"/>
  <c r="H12" i="37"/>
  <c r="C38" i="21" l="1"/>
  <c r="J10" i="37"/>
  <c r="I16" i="37"/>
  <c r="D13" i="37"/>
  <c r="G13" i="37"/>
  <c r="H11" i="37"/>
  <c r="G16" i="37"/>
  <c r="G11" i="37"/>
  <c r="F13" i="37"/>
  <c r="F16" i="37"/>
  <c r="F11" i="37"/>
  <c r="D6" i="37"/>
  <c r="E11" i="37"/>
  <c r="H13" i="37"/>
  <c r="D11" i="37"/>
  <c r="I13" i="37"/>
  <c r="D16" i="37"/>
  <c r="I11" i="37"/>
  <c r="D12" i="37"/>
  <c r="J12" i="37" l="1"/>
  <c r="J39" i="21"/>
  <c r="I38" i="21"/>
  <c r="J16" i="37"/>
  <c r="J13" i="37"/>
  <c r="J11" i="37"/>
  <c r="I6" i="37"/>
  <c r="F9" i="37"/>
  <c r="J6" i="37" l="1"/>
  <c r="E38" i="21"/>
  <c r="J38" i="21" s="1"/>
  <c r="G8" i="37"/>
  <c r="G7" i="37"/>
  <c r="E8" i="37"/>
  <c r="H8" i="37"/>
  <c r="E7" i="37"/>
  <c r="E9" i="37"/>
  <c r="D8" i="37"/>
  <c r="D7" i="37"/>
  <c r="I8" i="37"/>
  <c r="I7" i="37"/>
  <c r="H7" i="37"/>
  <c r="F8" i="37"/>
  <c r="F7" i="37"/>
  <c r="G9" i="37"/>
  <c r="J7" i="37" l="1"/>
  <c r="J8" i="37"/>
  <c r="F15" i="37"/>
  <c r="H14" i="37"/>
  <c r="I9" i="37"/>
  <c r="F14" i="37"/>
  <c r="E17" i="37"/>
  <c r="G14" i="37"/>
  <c r="E15" i="37"/>
  <c r="H9" i="37"/>
  <c r="E14" i="37"/>
  <c r="D9" i="37"/>
  <c r="G15" i="37"/>
  <c r="I14" i="37"/>
  <c r="E19" i="37" l="1"/>
  <c r="J9" i="37"/>
  <c r="J55" i="21"/>
  <c r="H15" i="37"/>
  <c r="F17" i="37"/>
  <c r="I15" i="37"/>
  <c r="D14" i="37"/>
  <c r="F19" i="37" l="1"/>
  <c r="J14" i="37"/>
  <c r="E18" i="37"/>
  <c r="I18" i="37"/>
  <c r="G18" i="37"/>
  <c r="F18" i="37"/>
  <c r="G17" i="37"/>
  <c r="I17" i="37"/>
  <c r="H17" i="37"/>
  <c r="H19" i="37" l="1"/>
  <c r="I19" i="37"/>
  <c r="G19" i="37"/>
  <c r="H18" i="37"/>
  <c r="D15" i="37"/>
  <c r="J15" i="37" l="1"/>
  <c r="J62" i="21"/>
  <c r="D17" i="37"/>
  <c r="J58" i="21" l="1"/>
  <c r="E61" i="21"/>
  <c r="J61" i="21" s="1"/>
  <c r="D19" i="37"/>
  <c r="F21" i="37" s="1"/>
  <c r="J17" i="37"/>
  <c r="J19" i="37" s="1"/>
  <c r="F22" i="37" s="1"/>
  <c r="F23" i="37" l="1"/>
  <c r="E63" i="21"/>
  <c r="J63" i="21" s="1"/>
  <c r="D18" i="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wade.wargo</author>
  </authors>
  <commentList>
    <comment ref="J12" authorId="0" shapeId="0" xr:uid="{00000000-0006-0000-0700-000001000000}">
      <text>
        <r>
          <rPr>
            <sz val="8"/>
            <color indexed="81"/>
            <rFont val="Tahoma"/>
            <family val="2"/>
          </rPr>
          <t>Indicate the actual number of total months for the Base and Options.</t>
        </r>
      </text>
    </comment>
  </commentList>
</comments>
</file>

<file path=xl/sharedStrings.xml><?xml version="1.0" encoding="utf-8"?>
<sst xmlns="http://schemas.openxmlformats.org/spreadsheetml/2006/main" count="461" uniqueCount="369">
  <si>
    <t>Version ID</t>
  </si>
  <si>
    <t>Tab</t>
  </si>
  <si>
    <t>Changes from Previous</t>
  </si>
  <si>
    <t>12-2019</t>
  </si>
  <si>
    <t>Original Version used for BTO BAA.</t>
  </si>
  <si>
    <t>01-2020.1</t>
  </si>
  <si>
    <t>Base, all Options, Tasks</t>
  </si>
  <si>
    <t>In Base and all Option tabs and two TASK tabs, column Q in Labor Rates table, now refers to correct column (N) instead of (M).  Incorrect column caused Fringe Benefit Rate to be used instead of Labor Overhead Rate in calculations.  This was only incorrect for the second fiscal year (only column Q).</t>
  </si>
  <si>
    <t>In all of the same tabs described above, cell U72 was distributed with "10%" as the default value.  This is changed to be 0%</t>
  </si>
  <si>
    <t>Summary Cost Table</t>
  </si>
  <si>
    <t>Removed the inclusion of row D (hours) in the Checksum value in the bottom row.</t>
  </si>
  <si>
    <t>03-2020</t>
  </si>
  <si>
    <t xml:space="preserve">Summed the Hours for Consultants.  </t>
  </si>
  <si>
    <t>General</t>
  </si>
  <si>
    <t xml:space="preserve">Updated the General Instructions Word document.  </t>
  </si>
  <si>
    <t>Base</t>
  </si>
  <si>
    <t>Yellow highlights added to column B.</t>
  </si>
  <si>
    <t>04-2020</t>
  </si>
  <si>
    <t>Constants</t>
  </si>
  <si>
    <t>There were two "Program/Project Manager III" categories.  Changed second one to be "Program/Project Manager II"</t>
  </si>
  <si>
    <t>1.04.00</t>
  </si>
  <si>
    <t>Top, added CAGE codes and proposer's proposal ID.</t>
  </si>
  <si>
    <t>Added Fringe, Overhead (Labor), G&amp;A (Labor) and F&amp;A (Labor) to the Indirect Rates list.</t>
  </si>
  <si>
    <t>Cells B18 &amp; B19 instructions expanded.</t>
  </si>
  <si>
    <t>Labor Rates</t>
  </si>
  <si>
    <t>Updated A7, B7 to include the word "Required".</t>
  </si>
  <si>
    <t>Offeror Constants</t>
  </si>
  <si>
    <t>Replaced out-year fiscal year dates with formulas that add 12 months to the prior FY date.  Plus conditional formatting on FY Begin Dates.</t>
  </si>
  <si>
    <t>Added checksums and Hour Totals by Proposer's FY</t>
  </si>
  <si>
    <t>Indirect Rates</t>
  </si>
  <si>
    <t>Added Profit and Fee categories.  Renamed tab to be Indirect Rates and Profit_Fee</t>
  </si>
  <si>
    <t>Changed Escalation Rate to be "N/A" when the prior year's labor rate is zero.</t>
  </si>
  <si>
    <t>Additional Tabs</t>
  </si>
  <si>
    <t>Copied additional tabs from the "Multiple TAs" version of this spreadsheet.</t>
  </si>
  <si>
    <t>1.05.00</t>
  </si>
  <si>
    <t>Added the SBIR/STTR Phase selection</t>
  </si>
  <si>
    <t>Proposer Constants</t>
  </si>
  <si>
    <t>Added the Small Business Size Estimate selection</t>
  </si>
  <si>
    <t>Indirect Rates and Profit_Fee</t>
  </si>
  <si>
    <t xml:space="preserve">Updated instructions in cell B16 </t>
  </si>
  <si>
    <t>1.06.00</t>
  </si>
  <si>
    <t>Removed the (labor) and (non-labor) designations after G&amp;A and F&amp;A indirect rate categories</t>
  </si>
  <si>
    <t>1.06.01</t>
  </si>
  <si>
    <t>Added Faculty/Professor to Research labor group for Academia business type</t>
  </si>
  <si>
    <t>1.06.02</t>
  </si>
  <si>
    <t>Added new Fringe (Students) indirect category for academia</t>
  </si>
  <si>
    <t>Instructions</t>
  </si>
  <si>
    <t>Added new worksheet named Instructions</t>
  </si>
  <si>
    <t>Travel</t>
  </si>
  <si>
    <t>Updated to accommodate first/last day of travel calculations</t>
  </si>
  <si>
    <t>Increased precision of percentages to seven decimal places, primarily for Cost of Money</t>
  </si>
  <si>
    <t>1.06.03</t>
  </si>
  <si>
    <t>ALL</t>
  </si>
  <si>
    <t>Removed duplicate reference names</t>
  </si>
  <si>
    <t>Took away the privilege to add or remove columns from this tab.</t>
  </si>
  <si>
    <t>Tied Fringe, Overhead, and G&amp;A/F&amp;A rates to three prepopulated rows in the Indirect Rates and Profit_Fee tab.</t>
  </si>
  <si>
    <t>Changed column name from Fully Loaded Rate to Loaded Hourly Rate</t>
  </si>
  <si>
    <t>1.06.04</t>
  </si>
  <si>
    <t>Fixed G&amp;A $$ calculation in Proposer Year 6 (cell AR63)</t>
  </si>
  <si>
    <t>Spreadsheet Version Number</t>
  </si>
  <si>
    <t>First digit change --&gt; prior functions changes.  Second digit change --&gt; new function added.  Third digit change --&gt; change in spreadsheet that does not affect CPDB.</t>
  </si>
  <si>
    <t>SpecificAnnouncementNumber</t>
  </si>
  <si>
    <t>General, I2, Picklist of Offeror Business Types</t>
  </si>
  <si>
    <t>Cell Range Naming Conventions:</t>
  </si>
  <si>
    <t>Large Business</t>
  </si>
  <si>
    <t>ThisIsAName = internal constants such as pick-lists</t>
  </si>
  <si>
    <t>Small Business</t>
  </si>
  <si>
    <t>This.Is.a.Name = named ranges holding proposer data</t>
  </si>
  <si>
    <t>Non-Profit</t>
  </si>
  <si>
    <t>Academia</t>
  </si>
  <si>
    <t>Lab/FFRDC</t>
  </si>
  <si>
    <t>Labor Collection --&gt; Labor Group --&gt; Labor Category</t>
  </si>
  <si>
    <t>Labor Collection based on Offeror Business Type Selection</t>
  </si>
  <si>
    <t>Valid values are Academia or General</t>
  </si>
  <si>
    <t>Add/Change Labor Collection requires Data Validation code change on Labor Rates tab, and new Labor Group list below.</t>
  </si>
  <si>
    <t>No Business Type Selected</t>
  </si>
  <si>
    <t>instructional choice</t>
  </si>
  <si>
    <t>First select a Business Type</t>
  </si>
  <si>
    <t>No Labor Collection is available</t>
  </si>
  <si>
    <t>Academia Labor Groups</t>
  </si>
  <si>
    <t>Add/Change Labor Group requires changes below to Categories</t>
  </si>
  <si>
    <t>Project Management</t>
  </si>
  <si>
    <t>Research</t>
  </si>
  <si>
    <t>Consultant</t>
  </si>
  <si>
    <t>Administrative Support</t>
  </si>
  <si>
    <t>General Labor Groups</t>
  </si>
  <si>
    <t>Science and Engineering</t>
  </si>
  <si>
    <t>Software Development</t>
  </si>
  <si>
    <t>Manufacturing</t>
  </si>
  <si>
    <t>Support</t>
  </si>
  <si>
    <t>Academia Project Management Categories</t>
  </si>
  <si>
    <t>Principal Investigator</t>
  </si>
  <si>
    <t>Co-Principal Investigator</t>
  </si>
  <si>
    <t>Co-Investigator</t>
  </si>
  <si>
    <t>Project Manager</t>
  </si>
  <si>
    <t>Academia Research Categories</t>
  </si>
  <si>
    <t>Faculty/Professor</t>
  </si>
  <si>
    <t>Sr. Post-Doc</t>
  </si>
  <si>
    <t>Post-Doc</t>
  </si>
  <si>
    <t>Post-Doc Fellow</t>
  </si>
  <si>
    <t>Research Scientist/Engineer</t>
  </si>
  <si>
    <t>Research Associate</t>
  </si>
  <si>
    <t>Research Assistant</t>
  </si>
  <si>
    <t>Staff Scientist</t>
  </si>
  <si>
    <t>Graduate Research Assistant</t>
  </si>
  <si>
    <t>Graduate Student</t>
  </si>
  <si>
    <t>Student</t>
  </si>
  <si>
    <t>Academia Consultant Categories</t>
  </si>
  <si>
    <t>Academia Administrative Support Categories</t>
  </si>
  <si>
    <t>Project Administrator</t>
  </si>
  <si>
    <t>Systems Administrator</t>
  </si>
  <si>
    <t>General Support Categories</t>
  </si>
  <si>
    <t>Administrative</t>
  </si>
  <si>
    <t>Security</t>
  </si>
  <si>
    <t>Financial</t>
  </si>
  <si>
    <t>Contracts</t>
  </si>
  <si>
    <t>General Project Management Categories</t>
  </si>
  <si>
    <t>Principal Program/Project Manager</t>
  </si>
  <si>
    <t>Program/Project Manager V</t>
  </si>
  <si>
    <t>Program/Project Manager IV</t>
  </si>
  <si>
    <t>Program/Project Manager III</t>
  </si>
  <si>
    <t>Program/Project Manager II</t>
  </si>
  <si>
    <t>Program/Project Manager I</t>
  </si>
  <si>
    <t>General Science and Engineering Categories</t>
  </si>
  <si>
    <t>Principal Scientist/Engineer</t>
  </si>
  <si>
    <t>Scientist/Engineer V</t>
  </si>
  <si>
    <t>Scientist/Engineer IV</t>
  </si>
  <si>
    <t>Scientist/Engineer III</t>
  </si>
  <si>
    <t>Scientist/Engineer II</t>
  </si>
  <si>
    <t>Scientist/Engineer I</t>
  </si>
  <si>
    <t>General Software Development Categories</t>
  </si>
  <si>
    <t>Principal Software Developer</t>
  </si>
  <si>
    <t>Software Developer V</t>
  </si>
  <si>
    <t>Software Developer IV</t>
  </si>
  <si>
    <t>Software Developer III</t>
  </si>
  <si>
    <t>Software Developer II</t>
  </si>
  <si>
    <t>Software Developer I</t>
  </si>
  <si>
    <t>General Manufacturing Categories</t>
  </si>
  <si>
    <t>Principal Manufacturer</t>
  </si>
  <si>
    <t>Manufacturer V</t>
  </si>
  <si>
    <t>Manufacturer IV</t>
  </si>
  <si>
    <t>Manufacturer III</t>
  </si>
  <si>
    <t>Manufacturer II</t>
  </si>
  <si>
    <t>Manufacturer I</t>
  </si>
  <si>
    <t>Principal Quality Control</t>
  </si>
  <si>
    <t>Quality Control V</t>
  </si>
  <si>
    <t>Quality Control IV</t>
  </si>
  <si>
    <t>Quality Control III</t>
  </si>
  <si>
    <t>Quality Control II</t>
  </si>
  <si>
    <t>Quality Control I</t>
  </si>
  <si>
    <t>General Consultant Categories</t>
  </si>
  <si>
    <t>Indirect Rate Categories</t>
  </si>
  <si>
    <t>Fringe</t>
  </si>
  <si>
    <t>Fringe (Students)</t>
  </si>
  <si>
    <t>Overhead (Labor)</t>
  </si>
  <si>
    <t>General and Administrative</t>
  </si>
  <si>
    <t>Facilities and Administrative Cost Rate</t>
  </si>
  <si>
    <t>Material Handling</t>
  </si>
  <si>
    <t>Procurement Overhead</t>
  </si>
  <si>
    <t>Subcontract Overhead</t>
  </si>
  <si>
    <t>Business Operating Support Overhead</t>
  </si>
  <si>
    <t>Information Technology Support Overhead</t>
  </si>
  <si>
    <t>Other Direct Cost (ODC) Overhead</t>
  </si>
  <si>
    <t>Facilities Cost of Money: Procurement COM</t>
  </si>
  <si>
    <t>Facilities Cost of Money: G&amp;A COM</t>
  </si>
  <si>
    <t>Facilities Cost of Money: Labor/Engineering COM</t>
  </si>
  <si>
    <t>Other Overhead/Cost Factors</t>
  </si>
  <si>
    <t>Profit (Fixed Price Awards)</t>
  </si>
  <si>
    <t>Fee (Cost Type Awards)</t>
  </si>
  <si>
    <t>SBIR/STTR Phase Choices</t>
  </si>
  <si>
    <t>Not Applicable</t>
  </si>
  <si>
    <t>Phase I</t>
  </si>
  <si>
    <t>Phase II</t>
  </si>
  <si>
    <t>Phase III</t>
  </si>
  <si>
    <t>Small Business Size Choices</t>
  </si>
  <si>
    <t>1-100</t>
  </si>
  <si>
    <t>101-500</t>
  </si>
  <si>
    <t>501-1000</t>
  </si>
  <si>
    <t>Business</t>
  </si>
  <si>
    <t>Proposer Fiscal Year Labels:</t>
  </si>
  <si>
    <t>Hours Proposed in Each Fiscal Year:</t>
  </si>
  <si>
    <t>Op1</t>
  </si>
  <si>
    <t>Op2</t>
  </si>
  <si>
    <t>Op3</t>
  </si>
  <si>
    <t>Op4</t>
  </si>
  <si>
    <t>Op5</t>
  </si>
  <si>
    <t>Row Sum</t>
  </si>
  <si>
    <t>Total Direct Labor Hours</t>
  </si>
  <si>
    <t>tdlc.hrs</t>
  </si>
  <si>
    <t>Total Direct Labor Costs</t>
  </si>
  <si>
    <t>tdlc.dlrs</t>
  </si>
  <si>
    <t>Total Fringe Benefit Costs</t>
  </si>
  <si>
    <t>tfbc.dlrs</t>
  </si>
  <si>
    <t>Total Labor Overhead Costs</t>
  </si>
  <si>
    <t>tloc.dlrs</t>
  </si>
  <si>
    <t>Total Subcontract Costs</t>
  </si>
  <si>
    <t>tsc.dlrs</t>
  </si>
  <si>
    <t>Total Consultant Costs</t>
  </si>
  <si>
    <t>tcc.dlrs</t>
  </si>
  <si>
    <t>Total Other Direct Costs</t>
  </si>
  <si>
    <t>todc.dlrs</t>
  </si>
  <si>
    <t>Total Material Handling Costs</t>
  </si>
  <si>
    <t>tmhc.dlrs</t>
  </si>
  <si>
    <t>Subtotal Costs</t>
  </si>
  <si>
    <t>sc.dlrs</t>
  </si>
  <si>
    <t>Total G&amp;A Costs</t>
  </si>
  <si>
    <t>tgac.dlrs</t>
  </si>
  <si>
    <t>Total Cost of Money</t>
  </si>
  <si>
    <t>tcm.dlrs</t>
  </si>
  <si>
    <t>Fixed Fee</t>
  </si>
  <si>
    <t>ff.dlrs</t>
  </si>
  <si>
    <t>Total Estimated Costs Plus Fixed Fee</t>
  </si>
  <si>
    <t>tecpff.dlrs</t>
  </si>
  <si>
    <t>Column Totals</t>
  </si>
  <si>
    <t>Sum of Column Totals ($)</t>
  </si>
  <si>
    <t>Sum of Row Totals ($)</t>
  </si>
  <si>
    <t>COLUMN TOTALS - ROW TOTALS</t>
  </si>
  <si>
    <t>This should be $0.  If not, research is needed.</t>
  </si>
  <si>
    <r>
      <rPr>
        <b/>
        <sz val="10"/>
        <rFont val="Arial"/>
        <family val="2"/>
      </rPr>
      <t>Instructions:</t>
    </r>
    <r>
      <rPr>
        <sz val="10"/>
        <rFont val="Arial"/>
        <family val="2"/>
      </rPr>
      <t xml:space="preserve">
•    On the Total Amount tab, only enter information in the cells that have been highlighted in yellow.
•    The Direct Labor Rates should be fully burdened, exclusive of Cost of Money and fee.
•    The Direct Labor Hours can either be regular hourd dedicated to the program, or a percentage of full time dedicated to the program, depending on the norm for the proposing organization.
          •    If the proposed level of effort will be a percentage, the number format in cells C14-C37 and F14-F37 should be updated to "Percentage" format.
          •    If the proposed level of effort will be a percentage  
•    For PRIME submission - Subcontractor Name: If there are subcontracts, list all subcontractor names.
•    In upper right last column, replace the X in X-Months with actual number of months for the Base and Options.
•    List Principal Investigator and Key Personnel working on the project even if they receive no salary support.
•    Subcontracts/Interorganizational Transfers: If appropriate, place Subcontractor name(s) or Interorganizational Name/Code in Column B.
•    Consultants: If appropriate, place Consultant name(s) in Column B.</t>
    </r>
  </si>
  <si>
    <t xml:space="preserve">Note 1: Any proposed personnel in the technical proposal should be identified with their labor category.  </t>
  </si>
  <si>
    <t xml:space="preserve">Note 2: Indicate the period of performance for the Base effort and each Option on their respective worksheets in cell C1.  Ensure that the time periods match those stated in the technical proposal. </t>
  </si>
  <si>
    <t>Note 3: The values under Total Direct Labor "Hours" column indicate the total level of effort for the project for each labor category.  The Proposer must define the split of hours between initial and subsequent rate years based on its FY in the detail worksheets.</t>
  </si>
  <si>
    <t xml:space="preserve">Note 4: Profit or fee is not allowed on direct costs for equipment, Government entities or cost share contracts.  In addition, a DD Form 1547 (DFARS 215.404-70) will be utilized in calculating the Government objective for fee. </t>
  </si>
  <si>
    <t>Cost Proposal - Total Amount</t>
  </si>
  <si>
    <t>Proposer</t>
  </si>
  <si>
    <t>Proposer's Name (Prime or Subcontractor)</t>
  </si>
  <si>
    <t>Prime Contractor</t>
  </si>
  <si>
    <t>Prime Contractor (Fill-in) (if applicable)</t>
  </si>
  <si>
    <t>(Note 2)</t>
  </si>
  <si>
    <t>Phase 1</t>
  </si>
  <si>
    <t>Phase 2</t>
  </si>
  <si>
    <t>Total</t>
  </si>
  <si>
    <t>Direct Labor (DL)</t>
  </si>
  <si>
    <t>Enter proposed PoP as "MM/YY to MM/YY"</t>
  </si>
  <si>
    <t>(Note 3)</t>
  </si>
  <si>
    <r>
      <t>X</t>
    </r>
    <r>
      <rPr>
        <b/>
        <u/>
        <sz val="9"/>
        <rFont val="Arial"/>
        <family val="2"/>
      </rPr>
      <t>-Months</t>
    </r>
  </si>
  <si>
    <t>Proposer's Labor Category (Note 1)</t>
  </si>
  <si>
    <t>Name (Last, First)</t>
  </si>
  <si>
    <t>Hours</t>
  </si>
  <si>
    <t>Rate</t>
  </si>
  <si>
    <t>Cost</t>
  </si>
  <si>
    <t>Subcontracts/Interorganizational Transfer</t>
  </si>
  <si>
    <t>Subcontract/Interorganizational Name - #01</t>
  </si>
  <si>
    <t>Subcontract/Interorganizational Name - #02</t>
  </si>
  <si>
    <t>Subcontract/Interorganizational Name - #03</t>
  </si>
  <si>
    <t xml:space="preserve">Insert line(s) for any additional Subcontractors/Interorganizational </t>
  </si>
  <si>
    <t>Consultants</t>
  </si>
  <si>
    <t xml:space="preserve">Other Direct Costs </t>
  </si>
  <si>
    <t>Equipment</t>
  </si>
  <si>
    <t>Provide details in Equip. Tab</t>
  </si>
  <si>
    <t>Provide details in Travel Tab</t>
  </si>
  <si>
    <t>Other ODCs</t>
  </si>
  <si>
    <t>Material Handling (M/H O/H)</t>
  </si>
  <si>
    <t>General and Administrative (G&amp;A)</t>
  </si>
  <si>
    <t>Facilities Cost of Money (COM)</t>
  </si>
  <si>
    <t>Total Estimated Costs</t>
  </si>
  <si>
    <t>Fee or Profit</t>
  </si>
  <si>
    <t>(Note 4)</t>
  </si>
  <si>
    <r>
      <t>EQUIPMENT</t>
    </r>
    <r>
      <rPr>
        <b/>
        <i/>
        <sz val="12"/>
        <color rgb="FFFF0000"/>
        <rFont val="Calibri"/>
        <family val="2"/>
      </rPr>
      <t xml:space="preserve"> (Note 1)</t>
    </r>
  </si>
  <si>
    <r>
      <t xml:space="preserve">Item
</t>
    </r>
    <r>
      <rPr>
        <b/>
        <sz val="12"/>
        <color rgb="FFFF0000"/>
        <rFont val="Calibri"/>
        <family val="2"/>
      </rPr>
      <t>(Note 2)</t>
    </r>
  </si>
  <si>
    <t>Description of Equipment (Note 1)</t>
  </si>
  <si>
    <t>Justification for why the equipment is needed</t>
  </si>
  <si>
    <t>Will the equipment be included as part of a deliverable item under the award? (Y/N)</t>
  </si>
  <si>
    <r>
      <t xml:space="preserve">Type of Equipment (special test equipment, special tooling, general purpose equipment, or plant equipment)
</t>
    </r>
    <r>
      <rPr>
        <b/>
        <sz val="12"/>
        <color rgb="FFFF0000"/>
        <rFont val="Calibri"/>
        <family val="2"/>
      </rPr>
      <t>(Note 3)</t>
    </r>
  </si>
  <si>
    <t>Qty</t>
  </si>
  <si>
    <t>Unit of Issue</t>
  </si>
  <si>
    <t>Unit Price</t>
  </si>
  <si>
    <t>Total Price</t>
  </si>
  <si>
    <t>Vendor/Source</t>
  </si>
  <si>
    <t>Basis of Estimate (Note 4)</t>
  </si>
  <si>
    <r>
      <t xml:space="preserve">Supporting documentation has been provided (Y/N)
</t>
    </r>
    <r>
      <rPr>
        <b/>
        <sz val="12"/>
        <color rgb="FFFF0000"/>
        <rFont val="Calibri"/>
        <family val="2"/>
      </rPr>
      <t>(Note 4)</t>
    </r>
  </si>
  <si>
    <t>Reference Document Number</t>
  </si>
  <si>
    <t>Y</t>
  </si>
  <si>
    <t>N</t>
  </si>
  <si>
    <t xml:space="preserve">Option I </t>
  </si>
  <si>
    <t xml:space="preserve">TOTAL </t>
  </si>
  <si>
    <t>Instructions:</t>
  </si>
  <si>
    <t>•  Indicate “Not Applicable” in cell B4 if there is no information to include for the Base and in cell B7 if there is no information to include for the Option.
•  Fill out all columns on the Equipment Tab for each item.
•  Add additional lines if needed.
•  Provide justification for equipment. Be sure to indicate the benefit(s) to the Government. Expand on any statements along the lines of “It is needed to support the project deliverables”. Costs must be approved by the Program Officer. Link the justification to the type of equipment purchase, i.e. special test equipment, special tooling, or plant equipment.
•  Include supporting documentation for each entry with unit cost over $5,000. Backup may consist of a vendor quote, past purchase order or invoice, information from a website, or a detailed explanation of labor and material costs for custom made items.
•  Label equipment backup clearly with a Reference Document Number in the format of EQ000 starting with EQ001.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Equipment worksheet under the Reference Document Number column.
•  Ensure that descriptions and vendors listed on the Equipment worksheet match information provided in the backup.
•  Number Reference Document Numbers sequentially so they match the Item number in the Base. For example, Item number 1 should match EQ001. If the same items are used again in the options, there is no need to renumber or add additional copies of the backup, but list the items sequentially for each option by Reference Document Number. As an example, EQ010 could be used for Base item number 10, Option I item number 1 and Option II Item number 6.</t>
  </si>
  <si>
    <t>Note 1:</t>
  </si>
  <si>
    <t>Contractors are normally required to furnish all equipment and/or facilities necessary to perform Government contracts (see FAR 45.102(a)). The Government may allow equipment and/or facilities only under special circumstances. If equipment and/or facilities are proposed, the specific description should identify the component, nomenclature, and configuration of the equipment/hardware that it proposes to purchase for this effort.  The purchase on a direct reimbursement basis of equipment that is not included in a deliverable item will be evaluated for allowability on a case-by-case basis.  Maximum use of Government integration, test, and experiment facilities is encouraged.</t>
  </si>
  <si>
    <t xml:space="preserve">Note 2: </t>
  </si>
  <si>
    <t>Include a separate section in the above table for the Base and each Option.  Add additional lines labeled with Options if needed.</t>
  </si>
  <si>
    <t>Note 3:</t>
  </si>
  <si>
    <t>Definitions:</t>
  </si>
  <si>
    <t xml:space="preserve">Special Test Equipment is defined as either single or multipurpose integrated test units engineered, designed, fabricated, or modified to accomplish special purpose testing in performing a contract.  It consists of items or assemblies of equipment including standard or general purpose items or components that are interconnected and interdependent so as to become a new functional entity for special testing purposes.   </t>
  </si>
  <si>
    <t>Special tooling is defined as jigs, dies, fixtures, molds, patterns, taps, gauges, and all components of these items, including foundations and similar improvements necessary for installing special test equipment, and which are of such a specialized nature that without substantial modification or alteration their use is limited to the development or production of particular supplies or parts thereof or to the performance of particular services.</t>
  </si>
  <si>
    <t>Plant equipment means personal property of a capital nature (including equipment, machine tools, test equipment, furniture, vehicles, and accessory and auxiliary items) for use in manufacturing supplies, in performing services, or for any administrative or general plant purpose. It does not include special tooling or special test equipment.</t>
  </si>
  <si>
    <t>Note 4:</t>
  </si>
  <si>
    <t>In an attachment, provide all supporting documentation to support your price basis, e.g. copy of vendor quote, past invoice/PO, page from catalog, or method used for deriving engineering estimates.</t>
  </si>
  <si>
    <t xml:space="preserve"> TRAVEL</t>
  </si>
  <si>
    <t>(Notes 1, 2  and 3)</t>
  </si>
  <si>
    <t>TRAVEL DETAIL</t>
  </si>
  <si>
    <t>Base / Option / Task</t>
  </si>
  <si>
    <t>Purpose of Trip</t>
  </si>
  <si>
    <t>Origin Destination</t>
  </si>
  <si>
    <t>Final Destination</t>
  </si>
  <si>
    <t># People</t>
  </si>
  <si>
    <t># Days</t>
  </si>
  <si>
    <t># of Trips</t>
  </si>
  <si>
    <t># days at 100% Hotel per diem</t>
  </si>
  <si>
    <t># days at 100% M&amp;IE per diem</t>
  </si>
  <si>
    <t># days at 75% M&amp;IE per diem</t>
  </si>
  <si>
    <t>Round Trip Airfare/ Trainfare per person</t>
  </si>
  <si>
    <t>Total Airfare/ Trainfare $ per Trip</t>
  </si>
  <si>
    <t>Hotel  Per Diem Rate per person</t>
  </si>
  <si>
    <t>Total Hotel Per Diem $ per trip</t>
  </si>
  <si>
    <t>M&amp;IE  Per Diem Rate per person</t>
  </si>
  <si>
    <t>100% M&amp;IE Per Diem $</t>
  </si>
  <si>
    <t>75% M&amp;IE Per Diem $</t>
  </si>
  <si>
    <t>Total M&amp;IE Per Diem $ per trip</t>
  </si>
  <si>
    <t>Car Rental dollars per day including Taxes &amp; Fees</t>
  </si>
  <si>
    <t># of Cars (1-3 people per car)</t>
  </si>
  <si>
    <t>Total Car rental $ per trip</t>
  </si>
  <si>
    <t>Standard Personal Car Mileage Rate</t>
  </si>
  <si>
    <t>Estimated Number of Round trip Miles per Car</t>
  </si>
  <si>
    <t># of Personal Cars</t>
  </si>
  <si>
    <t>Total Mileage Rate Dollars</t>
  </si>
  <si>
    <t>Conference Fees</t>
  </si>
  <si>
    <t>Other Expenses (tolls, parking, rental gas, wi-fi)</t>
  </si>
  <si>
    <t>TOTAL DIRECT DOLLARS PER TRIP</t>
  </si>
  <si>
    <t>GRAND TOTAL DIRECT DOLLARS FOR ALL TRIPS</t>
  </si>
  <si>
    <t>Base Total Travel</t>
  </si>
  <si>
    <t>Option Total Travel</t>
  </si>
  <si>
    <t>GRAND TOTAL TRAVEL</t>
  </si>
  <si>
    <t>•  When completing the “Origin” and “Final” Destination information, enter the city and state where travel will originate and end. For example, from Seattle WA to Washington DC. Do not list airport codes.
•  Include the trip purpose. It must be referred to in the Technical Proposal. Publications, conference attendance, and presentations are encouraged but must be justified to and approved by the Program Officer.
•  Remember that you cannot stay overnight the same number of days that you travel. There must always be one more day than night. 
•  The first day and the last day of travel are charged at 75% of the M&amp;IE per diem rate. If you travel for just one day (lasting 12 hours or more), the M&amp;IE per diem rate is also charged at 75%. For answers to FAQs about per diem and travel rates, please review: https://www.gsa.gov/travel/plan-book/per-diem-rates/frequently-asked-questions-per-diem.
•  Do not combine any categories.
•  For lodging and M&amp;IE, use federal Per Diem Rates found at https://www.gsa.gov.
•  Submit backup for airfare and rental cars. Price airfare at economy rates; indicate if the airfare is refundable.</t>
  </si>
  <si>
    <t xml:space="preserve">Note 1: </t>
  </si>
  <si>
    <t>Estimates and the resultant costs claimed must conform to the applicable Federal cost principles.</t>
  </si>
  <si>
    <r>
      <t>•</t>
    </r>
    <r>
      <rPr>
        <sz val="7"/>
        <rFont val="Times New Roman"/>
        <family val="1"/>
      </rPr>
      <t xml:space="preserve">        </t>
    </r>
    <r>
      <rPr>
        <sz val="12"/>
        <rFont val="Times New Roman"/>
        <family val="1"/>
      </rPr>
      <t>Do not combine any categories.</t>
    </r>
  </si>
  <si>
    <t>Note 2:</t>
  </si>
  <si>
    <t>Include a separate section in the above table for the base and each option</t>
  </si>
  <si>
    <t>If there are miscellaneous expenses associated with the trip, provide description and rationale.</t>
  </si>
  <si>
    <t xml:space="preserve"> </t>
  </si>
  <si>
    <t>Milestone #</t>
  </si>
  <si>
    <t>Milestone</t>
  </si>
  <si>
    <t>Exit Criteria  /Deliverable</t>
  </si>
  <si>
    <t>Due 
Date</t>
  </si>
  <si>
    <t xml:space="preserve"> Payment</t>
  </si>
  <si>
    <t>Funded</t>
  </si>
  <si>
    <t>CLIN
SUBCLIN</t>
  </si>
  <si>
    <t>ACRN</t>
  </si>
  <si>
    <t>Participation in Phase 1 project kick-off meeting. All supporting positions identified in the proposal are assigned to personnel, and names are provided to the Government.</t>
  </si>
  <si>
    <t>Month 1</t>
  </si>
  <si>
    <t xml:space="preserve">Progress report including UI wire-frame diagrams, proposed standard data formats, implementations of mechanisms to encourage communications with other performer teams, and any modifications to their original software library proposal. All proposed personnel must be working on the project at the planned level of effort and Associate Contractor Agreements must be in place. </t>
  </si>
  <si>
    <t>Milestone Report /
ACA agreements</t>
  </si>
  <si>
    <t>Month 3</t>
  </si>
  <si>
    <t>Demonstration of initial software library interface and other software library common structural elements. Progress report describing the design of the software library and detailing common structural elements included or planned for the software library.</t>
  </si>
  <si>
    <t>Demonstration / Milestone Report</t>
  </si>
  <si>
    <t>Month 6</t>
  </si>
  <si>
    <t>Demonstration of software library. Progress report describing the modified design of the software library, detailing software incorporated into the library, comparisons of the software versus the original implementations, plans for Phase 1 Hackathon preparation, and commonality analysis of features across software library constituents. Provision of software, documentation and training materials.</t>
  </si>
  <si>
    <t>Demonstration / Milestone Report / Software Provision</t>
  </si>
  <si>
    <t>Month 9</t>
  </si>
  <si>
    <t xml:space="preserve">Demonstration of software library. Progress report describing the modified design of the software library, detailing initial Phase 1 Hackathon information, software incorporated into the library and comparisons versus the original implementations, and analysis of common inter-performer-team approach compositions. Provision of software, documentation and training materials. Provided real-time support during Phase 1 Hackathon to teams using software library. </t>
  </si>
  <si>
    <t>Demonstration / Milestone Report / Software Provision / 
Hackathon Support</t>
  </si>
  <si>
    <t>Month 12</t>
  </si>
  <si>
    <t>Demonstration of software library. Phase 1 final report detailing performer experience relative to Phase 1 metrics, insights, and obstacles encountered. Provision of software, documentation and training materials. Submit DARPA's Public Release of Software, Artifacts and Code process documents for software library.</t>
  </si>
  <si>
    <t>Month 15</t>
  </si>
  <si>
    <t>Sub-Total Phase 1</t>
  </si>
  <si>
    <t xml:space="preserve">Demonstration of software library. Progress report describing the modified design of the software library, detailing software incorporated into the library, comparisons of the software versus the original implementations, plans for Phase 2 Hackathon preparation. </t>
  </si>
  <si>
    <t>Month 18</t>
  </si>
  <si>
    <t>TBD</t>
  </si>
  <si>
    <t>Demonstration of software library. Progress report detailing initial Phase 2 Hackathon information, software incorporated into the library and comparisons versus the original implementations, analysis of common inter-performer-team approach compositions, and commonality analysis of features across software library constituents. Provision of software, documentation and training materials.</t>
  </si>
  <si>
    <t>Month 21</t>
  </si>
  <si>
    <t>Demonstration of software library. Phase 2 final report detailing performer experience relative to Phase 2 metrics, insights, and obstacles encountered. Provision of software, documentation and training materials. Provided real-time support during Phase 2 Hackathon to teams using software library. Submit DARPA's Public Release of Software, Artifacts and Code process documents for software library.</t>
  </si>
  <si>
    <t>Month 24</t>
  </si>
  <si>
    <t>Sub-Total Phase 2</t>
  </si>
  <si>
    <t>Total Agreement</t>
  </si>
  <si>
    <t>*Tasks and targets are keyed to Attachment 1 - Task Description Document</t>
  </si>
  <si>
    <t>HIGHLIGHTED SECTION NOT TO BE FILLED OUT BY PROPOSERS</t>
  </si>
  <si>
    <t>Presentation Slides / Personnel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</si>
</sst>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42" formatCode="_(&quot;$&quot;* #,##0_);_(&quot;$&quot;* \(#,##0\);_(&quot;$&quot;* &quot;-&quot;_);_(@_)"/>
    <numFmt numFmtId="44" formatCode="_(&quot;$&quot;* #,##0.00_);_(&quot;$&quot;* \(#,##0.00\);_(&quot;$&quot;* &quot;-&quot;??_);_(@_)"/>
    <numFmt numFmtId="164" formatCode="&quot;$&quot;#,##0.00"/>
    <numFmt numFmtId="165" formatCode="0.000%"/>
    <numFmt numFmtId="166" formatCode="&quot;$&quot;#,##0"/>
    <numFmt numFmtId="167" formatCode="#,##0.0_);\(#,##0.0\)"/>
    <numFmt numFmtId="168" formatCode="_(&quot;$&quot;* #,##0_);_(&quot;$&quot;* \(#,##0\);_(&quot;$&quot;* &quot;-&quot;??_);_(@_)"/>
    <numFmt numFmtId="169" formatCode="&quot;$&quot;#,##0.000"/>
    <numFmt numFmtId="170" formatCode="#,##0.0"/>
    <numFmt numFmtId="171" formatCode="[$-409]dd\-mmm\-yy;@"/>
  </numFmts>
  <fonts count="47" x14ac:knownFonts="1">
    <font>
      <sz val="10"/>
      <name val="Arial"/>
    </font>
    <font>
      <sz val="11"/>
      <color theme="1"/>
      <name val="Calibri"/>
      <family val="2"/>
      <scheme val="minor"/>
    </font>
    <font>
      <sz val="10"/>
      <name val="Arial"/>
      <family val="2"/>
    </font>
    <font>
      <sz val="8"/>
      <name val="Arial"/>
      <family val="2"/>
    </font>
    <font>
      <b/>
      <sz val="10"/>
      <name val="Arial"/>
      <family val="2"/>
    </font>
    <font>
      <b/>
      <sz val="9"/>
      <name val="Arial"/>
      <family val="2"/>
    </font>
    <font>
      <sz val="9"/>
      <name val="Arial"/>
      <family val="2"/>
    </font>
    <font>
      <b/>
      <u/>
      <sz val="9"/>
      <name val="Arial"/>
      <family val="2"/>
    </font>
    <font>
      <i/>
      <sz val="9"/>
      <name val="Arial"/>
      <family val="2"/>
    </font>
    <font>
      <sz val="8"/>
      <color indexed="81"/>
      <name val="Tahoma"/>
      <family val="2"/>
    </font>
    <font>
      <b/>
      <sz val="9"/>
      <color indexed="10"/>
      <name val="Arial"/>
      <family val="2"/>
    </font>
    <font>
      <b/>
      <u/>
      <sz val="9"/>
      <color indexed="10"/>
      <name val="Arial"/>
      <family val="2"/>
    </font>
    <font>
      <u/>
      <sz val="9"/>
      <name val="Arial"/>
      <family val="2"/>
    </font>
    <font>
      <b/>
      <i/>
      <sz val="12"/>
      <name val="Calibri"/>
      <family val="2"/>
    </font>
    <font>
      <sz val="12"/>
      <name val="Calibri"/>
      <family val="2"/>
    </font>
    <font>
      <sz val="10"/>
      <name val="Times New Roman"/>
      <family val="1"/>
    </font>
    <font>
      <b/>
      <sz val="12"/>
      <name val="Calibri"/>
      <family val="2"/>
    </font>
    <font>
      <sz val="10"/>
      <name val="Calibri"/>
      <family val="2"/>
    </font>
    <font>
      <sz val="14"/>
      <color indexed="8"/>
      <name val="Calibri"/>
      <family val="2"/>
    </font>
    <font>
      <b/>
      <sz val="12"/>
      <color indexed="8"/>
      <name val="Calibri"/>
      <family val="2"/>
    </font>
    <font>
      <sz val="12"/>
      <color indexed="8"/>
      <name val="Calibri"/>
      <family val="2"/>
    </font>
    <font>
      <b/>
      <i/>
      <sz val="12"/>
      <color indexed="8"/>
      <name val="Calibri"/>
      <family val="2"/>
    </font>
    <font>
      <sz val="8"/>
      <name val="Verdana"/>
      <family val="2"/>
    </font>
    <font>
      <b/>
      <i/>
      <sz val="10"/>
      <name val="Arial"/>
      <family val="2"/>
    </font>
    <font>
      <sz val="12"/>
      <name val="Calibri"/>
      <family val="2"/>
      <scheme val="minor"/>
    </font>
    <font>
      <sz val="12"/>
      <name val="Times New Roman"/>
      <family val="1"/>
    </font>
    <font>
      <b/>
      <sz val="12"/>
      <name val="Times New Roman"/>
      <family val="1"/>
    </font>
    <font>
      <b/>
      <sz val="9"/>
      <color rgb="FFFF0000"/>
      <name val="Arial"/>
      <family val="2"/>
    </font>
    <font>
      <b/>
      <i/>
      <sz val="12"/>
      <color rgb="FFFF0000"/>
      <name val="Calibri"/>
      <family val="2"/>
    </font>
    <font>
      <b/>
      <sz val="12"/>
      <color rgb="FFFF0000"/>
      <name val="Calibri"/>
      <family val="2"/>
    </font>
    <font>
      <b/>
      <sz val="11"/>
      <name val="Arial"/>
      <family val="2"/>
    </font>
    <font>
      <i/>
      <sz val="10"/>
      <name val="Arial"/>
      <family val="2"/>
    </font>
    <font>
      <i/>
      <sz val="11"/>
      <name val="Arial"/>
      <family val="2"/>
    </font>
    <font>
      <i/>
      <sz val="8"/>
      <name val="Arial"/>
      <family val="2"/>
    </font>
    <font>
      <sz val="10"/>
      <color rgb="FFFF0000"/>
      <name val="Arial"/>
      <family val="2"/>
    </font>
    <font>
      <sz val="11"/>
      <name val="Arial"/>
      <family val="2"/>
    </font>
    <font>
      <sz val="10"/>
      <name val="Verdana"/>
      <family val="2"/>
    </font>
    <font>
      <b/>
      <i/>
      <sz val="9"/>
      <color rgb="FFFF0000"/>
      <name val="Arial"/>
      <family val="2"/>
    </font>
    <font>
      <b/>
      <sz val="11"/>
      <name val="Calibri"/>
      <family val="2"/>
      <scheme val="minor"/>
    </font>
    <font>
      <sz val="11"/>
      <name val="Calibri"/>
      <family val="2"/>
      <scheme val="minor"/>
    </font>
    <font>
      <sz val="11"/>
      <color rgb="FF0070C0"/>
      <name val="Calibri"/>
      <family val="2"/>
      <scheme val="minor"/>
    </font>
    <font>
      <sz val="7"/>
      <name val="Times New Roman"/>
      <family val="1"/>
    </font>
    <font>
      <sz val="11"/>
      <color theme="1"/>
      <name val="Times New Roman"/>
      <family val="2"/>
    </font>
    <font>
      <b/>
      <sz val="11"/>
      <color theme="1"/>
      <name val="Times New Roman"/>
      <family val="1"/>
    </font>
    <font>
      <sz val="11"/>
      <color theme="1"/>
      <name val="Times New Roman"/>
      <family val="1"/>
    </font>
    <font>
      <b/>
      <sz val="11"/>
      <color rgb="FFFF0000"/>
      <name val="Times New Roman"/>
      <family val="1"/>
    </font>
    <font>
      <sz val="10"/>
      <color theme="1"/>
      <name val="Times New Roman"/>
      <family val="2"/>
    </font>
  </fonts>
  <fills count="15">
    <fill>
      <patternFill patternType="none"/>
    </fill>
    <fill>
      <patternFill patternType="gray125"/>
    </fill>
    <fill>
      <patternFill patternType="solid">
        <fgColor indexed="42"/>
        <bgColor indexed="64"/>
      </patternFill>
    </fill>
    <fill>
      <patternFill patternType="solid">
        <fgColor rgb="FFFFFF00"/>
        <bgColor indexed="64"/>
      </patternFill>
    </fill>
    <fill>
      <patternFill patternType="solid">
        <fgColor rgb="FFCCFFCC"/>
        <bgColor indexed="64"/>
      </patternFill>
    </fill>
    <fill>
      <patternFill patternType="solid">
        <fgColor rgb="FF92D050"/>
        <bgColor indexed="64"/>
      </patternFill>
    </fill>
    <fill>
      <patternFill patternType="solid">
        <fgColor rgb="FFFFC000"/>
        <bgColor indexed="64"/>
      </patternFill>
    </fill>
    <fill>
      <patternFill patternType="solid">
        <fgColor rgb="FFFFE9A3"/>
        <bgColor indexed="64"/>
      </patternFill>
    </fill>
    <fill>
      <patternFill patternType="solid">
        <fgColor theme="0" tint="-0.14999847407452621"/>
        <bgColor indexed="64"/>
      </patternFill>
    </fill>
    <fill>
      <patternFill patternType="solid">
        <fgColor theme="1"/>
        <bgColor indexed="64"/>
      </patternFill>
    </fill>
    <fill>
      <patternFill patternType="solid">
        <fgColor theme="0" tint="-4.9989318521683403E-2"/>
        <bgColor indexed="64"/>
      </patternFill>
    </fill>
    <fill>
      <patternFill patternType="solid">
        <fgColor rgb="FFECECEC"/>
        <bgColor indexed="64"/>
      </patternFill>
    </fill>
    <fill>
      <patternFill patternType="solid">
        <fgColor rgb="FF00B050"/>
        <bgColor indexed="64"/>
      </patternFill>
    </fill>
    <fill>
      <patternFill patternType="solid">
        <fgColor rgb="FFFF97FF"/>
        <bgColor indexed="64"/>
      </patternFill>
    </fill>
    <fill>
      <patternFill patternType="solid">
        <fgColor indexed="9"/>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15" fillId="0" borderId="0"/>
    <xf numFmtId="0" fontId="36" fillId="0" borderId="0"/>
    <xf numFmtId="0" fontId="1" fillId="0" borderId="0"/>
    <xf numFmtId="44" fontId="1" fillId="0" borderId="0" applyFont="0" applyFill="0" applyBorder="0" applyAlignment="0" applyProtection="0"/>
    <xf numFmtId="0" fontId="1" fillId="0" borderId="0"/>
    <xf numFmtId="44" fontId="1" fillId="0" borderId="0" applyFont="0" applyFill="0" applyBorder="0" applyAlignment="0" applyProtection="0"/>
    <xf numFmtId="44" fontId="2" fillId="0" borderId="0" applyFont="0" applyFill="0" applyBorder="0" applyAlignment="0" applyProtection="0"/>
    <xf numFmtId="0" fontId="42" fillId="0" borderId="0"/>
    <xf numFmtId="44" fontId="42" fillId="0" borderId="0" applyFont="0" applyFill="0" applyBorder="0" applyAlignment="0" applyProtection="0"/>
  </cellStyleXfs>
  <cellXfs count="276">
    <xf numFmtId="0" fontId="0" fillId="0" borderId="0" xfId="0"/>
    <xf numFmtId="0" fontId="6" fillId="0" borderId="1" xfId="0" applyFont="1" applyBorder="1"/>
    <xf numFmtId="0" fontId="7" fillId="0" borderId="1" xfId="0" applyFont="1" applyBorder="1" applyAlignment="1">
      <alignment horizontal="center"/>
    </xf>
    <xf numFmtId="0" fontId="6" fillId="0" borderId="1" xfId="0" applyFont="1" applyFill="1" applyBorder="1" applyAlignment="1">
      <alignment vertical="top" wrapText="1"/>
    </xf>
    <xf numFmtId="0" fontId="6" fillId="0" borderId="2" xfId="0" applyFont="1" applyBorder="1"/>
    <xf numFmtId="0" fontId="6" fillId="0" borderId="5" xfId="0" applyFont="1" applyBorder="1"/>
    <xf numFmtId="0" fontId="6" fillId="0" borderId="6" xfId="0" applyFont="1" applyBorder="1"/>
    <xf numFmtId="0" fontId="6" fillId="0" borderId="8" xfId="0" applyFont="1" applyBorder="1"/>
    <xf numFmtId="0" fontId="7" fillId="0" borderId="3" xfId="0" applyFont="1" applyBorder="1" applyAlignment="1">
      <alignment horizontal="center"/>
    </xf>
    <xf numFmtId="0" fontId="6" fillId="0" borderId="4" xfId="0" applyFont="1" applyBorder="1"/>
    <xf numFmtId="0" fontId="5" fillId="0" borderId="5" xfId="0" applyFont="1" applyBorder="1"/>
    <xf numFmtId="0" fontId="7" fillId="0" borderId="2" xfId="0" applyFont="1" applyBorder="1" applyAlignment="1">
      <alignment horizontal="center"/>
    </xf>
    <xf numFmtId="0" fontId="7" fillId="0" borderId="5" xfId="0" applyFont="1" applyBorder="1" applyAlignment="1">
      <alignment horizontal="center"/>
    </xf>
    <xf numFmtId="0" fontId="7" fillId="0" borderId="6" xfId="0" applyFont="1" applyBorder="1" applyAlignment="1">
      <alignment horizontal="center"/>
    </xf>
    <xf numFmtId="0" fontId="4" fillId="0" borderId="0" xfId="0" applyFont="1"/>
    <xf numFmtId="3" fontId="6" fillId="0" borderId="15" xfId="0" applyNumberFormat="1" applyFont="1" applyBorder="1"/>
    <xf numFmtId="0" fontId="10" fillId="0" borderId="16" xfId="0" applyFont="1" applyBorder="1" applyAlignment="1">
      <alignment horizontal="center"/>
    </xf>
    <xf numFmtId="0" fontId="6" fillId="0" borderId="15" xfId="0" applyFont="1" applyBorder="1"/>
    <xf numFmtId="164" fontId="6" fillId="0" borderId="18" xfId="0" applyNumberFormat="1" applyFont="1" applyBorder="1"/>
    <xf numFmtId="165" fontId="6" fillId="0" borderId="7" xfId="0" applyNumberFormat="1" applyFont="1" applyBorder="1"/>
    <xf numFmtId="0" fontId="7" fillId="0" borderId="1" xfId="0" applyFont="1" applyBorder="1" applyAlignment="1">
      <alignment horizontal="left"/>
    </xf>
    <xf numFmtId="0" fontId="5" fillId="0" borderId="1" xfId="0" applyFont="1" applyFill="1" applyBorder="1"/>
    <xf numFmtId="0" fontId="5" fillId="0" borderId="5" xfId="0" applyFont="1" applyFill="1" applyBorder="1"/>
    <xf numFmtId="164" fontId="5" fillId="0" borderId="6" xfId="0" applyNumberFormat="1" applyFont="1" applyFill="1" applyBorder="1"/>
    <xf numFmtId="164" fontId="5" fillId="0" borderId="15" xfId="0" applyNumberFormat="1" applyFont="1" applyFill="1" applyBorder="1"/>
    <xf numFmtId="0" fontId="6" fillId="0" borderId="1" xfId="0" applyFont="1" applyFill="1" applyBorder="1"/>
    <xf numFmtId="0" fontId="4" fillId="0" borderId="0" xfId="0" applyFont="1" applyFill="1" applyBorder="1"/>
    <xf numFmtId="0" fontId="6" fillId="0" borderId="5" xfId="0" applyFont="1" applyFill="1" applyBorder="1"/>
    <xf numFmtId="164" fontId="6" fillId="0" borderId="15" xfId="0" applyNumberFormat="1" applyFont="1" applyFill="1" applyBorder="1"/>
    <xf numFmtId="0" fontId="17" fillId="0" borderId="0" xfId="0" applyFont="1"/>
    <xf numFmtId="0" fontId="18" fillId="0" borderId="0" xfId="0" applyFont="1"/>
    <xf numFmtId="0" fontId="14" fillId="0" borderId="0" xfId="0" applyFont="1" applyAlignment="1">
      <alignment wrapText="1"/>
    </xf>
    <xf numFmtId="0" fontId="15" fillId="0" borderId="0" xfId="0" applyFont="1"/>
    <xf numFmtId="0" fontId="15" fillId="0" borderId="0" xfId="0" applyFont="1" applyAlignment="1">
      <alignment horizontal="left" indent="6"/>
    </xf>
    <xf numFmtId="0" fontId="17" fillId="2" borderId="0" xfId="0" applyFont="1" applyFill="1"/>
    <xf numFmtId="0" fontId="20" fillId="0" borderId="1" xfId="0" applyFont="1" applyFill="1" applyBorder="1" applyAlignment="1">
      <alignment horizontal="center" vertical="top" wrapText="1"/>
    </xf>
    <xf numFmtId="0" fontId="0" fillId="0" borderId="0" xfId="0" applyBorder="1"/>
    <xf numFmtId="0" fontId="20" fillId="0" borderId="0" xfId="0" applyFont="1" applyBorder="1" applyAlignment="1">
      <alignment vertical="top" wrapText="1"/>
    </xf>
    <xf numFmtId="0" fontId="0" fillId="0" borderId="0" xfId="0" applyFill="1"/>
    <xf numFmtId="0" fontId="14" fillId="2" borderId="0" xfId="0" applyFont="1" applyFill="1"/>
    <xf numFmtId="0" fontId="20" fillId="0" borderId="1" xfId="0" applyFont="1" applyFill="1" applyBorder="1" applyAlignment="1">
      <alignment vertical="top" wrapText="1"/>
    </xf>
    <xf numFmtId="166" fontId="20" fillId="0" borderId="1" xfId="0" applyNumberFormat="1" applyFont="1" applyFill="1" applyBorder="1" applyAlignment="1">
      <alignment vertical="top" wrapText="1"/>
    </xf>
    <xf numFmtId="0" fontId="19" fillId="0" borderId="1" xfId="0" applyFont="1" applyFill="1" applyBorder="1" applyAlignment="1">
      <alignment horizontal="center" vertical="top" wrapText="1"/>
    </xf>
    <xf numFmtId="0" fontId="19" fillId="0" borderId="0" xfId="0" applyFont="1" applyBorder="1" applyAlignment="1">
      <alignment horizontal="right" vertical="top" wrapText="1"/>
    </xf>
    <xf numFmtId="0" fontId="19" fillId="0" borderId="1" xfId="0" applyFont="1" applyBorder="1" applyAlignment="1">
      <alignment horizontal="center" vertical="center" wrapText="1"/>
    </xf>
    <xf numFmtId="0" fontId="16" fillId="0" borderId="1" xfId="1" applyFont="1" applyFill="1" applyBorder="1" applyAlignment="1">
      <alignment horizontal="center" vertical="center" wrapText="1"/>
    </xf>
    <xf numFmtId="166" fontId="20" fillId="0" borderId="1" xfId="0" applyNumberFormat="1" applyFont="1" applyFill="1" applyBorder="1" applyAlignment="1">
      <alignment horizontal="right" vertical="top" wrapText="1"/>
    </xf>
    <xf numFmtId="0" fontId="0" fillId="3" borderId="0" xfId="0" applyFill="1"/>
    <xf numFmtId="0" fontId="2" fillId="0" borderId="0" xfId="0" applyFont="1"/>
    <xf numFmtId="0" fontId="12" fillId="0" borderId="1" xfId="0" applyFont="1" applyFill="1" applyBorder="1" applyAlignment="1">
      <alignment horizontal="center"/>
    </xf>
    <xf numFmtId="0" fontId="8" fillId="0" borderId="2" xfId="0" applyFont="1" applyFill="1" applyBorder="1"/>
    <xf numFmtId="0" fontId="6" fillId="0" borderId="2" xfId="0" applyFont="1" applyFill="1" applyBorder="1"/>
    <xf numFmtId="0" fontId="6" fillId="4" borderId="0" xfId="0" applyFont="1" applyFill="1"/>
    <xf numFmtId="0" fontId="19" fillId="0" borderId="1" xfId="0" applyFont="1" applyFill="1" applyBorder="1" applyAlignment="1">
      <alignment horizontal="center" vertical="center" wrapText="1"/>
    </xf>
    <xf numFmtId="6" fontId="19" fillId="0" borderId="1" xfId="0" applyNumberFormat="1" applyFont="1" applyFill="1" applyBorder="1" applyAlignment="1">
      <alignment vertical="top" wrapText="1"/>
    </xf>
    <xf numFmtId="0" fontId="4" fillId="0" borderId="0" xfId="0" applyFont="1" applyAlignment="1">
      <alignment vertical="top"/>
    </xf>
    <xf numFmtId="0" fontId="25" fillId="0" borderId="0" xfId="0" applyFont="1" applyAlignment="1">
      <alignment vertical="center"/>
    </xf>
    <xf numFmtId="0" fontId="25" fillId="0" borderId="0" xfId="0" applyFont="1" applyAlignment="1">
      <alignment horizontal="justify" vertical="center"/>
    </xf>
    <xf numFmtId="0" fontId="15" fillId="0" borderId="0" xfId="0" applyFont="1" applyAlignment="1">
      <alignment horizontal="justify" vertical="center"/>
    </xf>
    <xf numFmtId="0" fontId="26" fillId="0" borderId="0" xfId="0" applyFont="1" applyAlignment="1">
      <alignment horizontal="justify" vertical="center"/>
    </xf>
    <xf numFmtId="0" fontId="4" fillId="0" borderId="0" xfId="0" applyFont="1" applyAlignment="1">
      <alignment horizontal="left" vertical="top"/>
    </xf>
    <xf numFmtId="0" fontId="27" fillId="0" borderId="14" xfId="0" applyFont="1" applyBorder="1"/>
    <xf numFmtId="0" fontId="21" fillId="2" borderId="0" xfId="0" applyFont="1" applyFill="1" applyAlignment="1"/>
    <xf numFmtId="0" fontId="14" fillId="0" borderId="0" xfId="0" applyFont="1"/>
    <xf numFmtId="0" fontId="4" fillId="0" borderId="0" xfId="0" applyFont="1" applyFill="1"/>
    <xf numFmtId="0" fontId="2" fillId="3" borderId="0" xfId="0" applyFont="1" applyFill="1"/>
    <xf numFmtId="0" fontId="2" fillId="0" borderId="0" xfId="0" applyFont="1" applyFill="1"/>
    <xf numFmtId="0" fontId="4" fillId="5" borderId="0" xfId="0" applyFont="1" applyFill="1"/>
    <xf numFmtId="0" fontId="4" fillId="9" borderId="0" xfId="0" applyFont="1" applyFill="1"/>
    <xf numFmtId="0" fontId="0" fillId="9" borderId="0" xfId="0" applyFill="1"/>
    <xf numFmtId="0" fontId="4" fillId="6" borderId="0" xfId="0" applyFont="1" applyFill="1"/>
    <xf numFmtId="0" fontId="32" fillId="0" borderId="0" xfId="0" applyFont="1"/>
    <xf numFmtId="0" fontId="6" fillId="7" borderId="10" xfId="0" applyFont="1" applyFill="1" applyBorder="1"/>
    <xf numFmtId="42" fontId="0" fillId="0" borderId="0" xfId="0" applyNumberFormat="1"/>
    <xf numFmtId="0" fontId="31" fillId="0" borderId="0" xfId="0" applyFont="1"/>
    <xf numFmtId="0" fontId="34" fillId="0" borderId="0" xfId="0" applyFont="1"/>
    <xf numFmtId="42" fontId="6" fillId="0" borderId="6" xfId="0" applyNumberFormat="1" applyFont="1" applyBorder="1"/>
    <xf numFmtId="42" fontId="5" fillId="0" borderId="6" xfId="0" applyNumberFormat="1" applyFont="1" applyFill="1" applyBorder="1"/>
    <xf numFmtId="166" fontId="6" fillId="0" borderId="17" xfId="0" applyNumberFormat="1" applyFont="1" applyBorder="1"/>
    <xf numFmtId="0" fontId="6" fillId="0" borderId="1" xfId="0" applyFont="1" applyBorder="1" applyAlignment="1">
      <alignment horizontal="right"/>
    </xf>
    <xf numFmtId="0" fontId="6" fillId="0" borderId="5" xfId="0" applyFont="1" applyBorder="1" applyAlignment="1">
      <alignment horizontal="right"/>
    </xf>
    <xf numFmtId="0" fontId="4" fillId="0" borderId="0" xfId="0" applyFont="1"/>
    <xf numFmtId="49" fontId="35" fillId="0" borderId="0" xfId="0" applyNumberFormat="1" applyFont="1" applyAlignment="1">
      <alignment wrapText="1"/>
    </xf>
    <xf numFmtId="49" fontId="30" fillId="0" borderId="0" xfId="0" applyNumberFormat="1" applyFont="1" applyAlignment="1">
      <alignment wrapText="1"/>
    </xf>
    <xf numFmtId="167" fontId="0" fillId="0" borderId="0" xfId="0" applyNumberFormat="1"/>
    <xf numFmtId="49" fontId="2" fillId="3" borderId="0" xfId="0" applyNumberFormat="1" applyFont="1" applyFill="1" applyAlignment="1">
      <alignment horizontal="center"/>
    </xf>
    <xf numFmtId="49" fontId="35" fillId="0" borderId="0" xfId="0" applyNumberFormat="1" applyFont="1"/>
    <xf numFmtId="49" fontId="0" fillId="0" borderId="0" xfId="0" applyNumberFormat="1"/>
    <xf numFmtId="3" fontId="0" fillId="0" borderId="0" xfId="0" applyNumberFormat="1"/>
    <xf numFmtId="42" fontId="0" fillId="6" borderId="0" xfId="0" applyNumberFormat="1" applyFill="1"/>
    <xf numFmtId="42" fontId="0" fillId="12" borderId="0" xfId="0" applyNumberFormat="1" applyFill="1"/>
    <xf numFmtId="0" fontId="0" fillId="0" borderId="0" xfId="0" applyAlignment="1">
      <alignment horizontal="right"/>
    </xf>
    <xf numFmtId="42" fontId="0" fillId="13" borderId="0" xfId="0" applyNumberFormat="1" applyFill="1"/>
    <xf numFmtId="0" fontId="23" fillId="0" borderId="0" xfId="0" applyFont="1"/>
    <xf numFmtId="0" fontId="0" fillId="0" borderId="0" xfId="0" applyFill="1" applyAlignment="1">
      <alignment horizontal="right"/>
    </xf>
    <xf numFmtId="49" fontId="2" fillId="0" borderId="0" xfId="0" applyNumberFormat="1" applyFont="1" applyFill="1"/>
    <xf numFmtId="49" fontId="4" fillId="0" borderId="0" xfId="0" applyNumberFormat="1" applyFont="1" applyFill="1"/>
    <xf numFmtId="49" fontId="2" fillId="3" borderId="0" xfId="0" applyNumberFormat="1" applyFont="1" applyFill="1"/>
    <xf numFmtId="49" fontId="4" fillId="9" borderId="0" xfId="0" applyNumberFormat="1" applyFont="1" applyFill="1"/>
    <xf numFmtId="0" fontId="8" fillId="0" borderId="1" xfId="0" applyFont="1" applyBorder="1" applyAlignment="1">
      <alignment horizontal="left"/>
    </xf>
    <xf numFmtId="164" fontId="6" fillId="0" borderId="6" xfId="0" applyNumberFormat="1" applyFont="1" applyBorder="1"/>
    <xf numFmtId="0" fontId="8" fillId="0" borderId="2" xfId="0" applyFont="1" applyBorder="1"/>
    <xf numFmtId="164" fontId="6" fillId="0" borderId="6" xfId="0" applyNumberFormat="1" applyFont="1" applyFill="1" applyBorder="1"/>
    <xf numFmtId="164" fontId="5" fillId="0" borderId="13" xfId="0" applyNumberFormat="1" applyFont="1" applyFill="1" applyBorder="1"/>
    <xf numFmtId="0" fontId="6" fillId="7" borderId="1" xfId="0" applyFont="1" applyFill="1" applyBorder="1" applyAlignment="1">
      <alignment vertical="top" wrapText="1"/>
    </xf>
    <xf numFmtId="164" fontId="6" fillId="7" borderId="6" xfId="0" applyNumberFormat="1" applyFont="1" applyFill="1" applyBorder="1"/>
    <xf numFmtId="0" fontId="5" fillId="7" borderId="5" xfId="0" applyFont="1" applyFill="1" applyBorder="1"/>
    <xf numFmtId="0" fontId="5" fillId="7" borderId="1" xfId="0" applyFont="1" applyFill="1" applyBorder="1"/>
    <xf numFmtId="164" fontId="6" fillId="7" borderId="13" xfId="0" applyNumberFormat="1" applyFont="1" applyFill="1" applyBorder="1"/>
    <xf numFmtId="0" fontId="4" fillId="0" borderId="8" xfId="0" applyFont="1" applyFill="1" applyBorder="1"/>
    <xf numFmtId="0" fontId="6" fillId="0" borderId="3" xfId="0" applyFont="1" applyFill="1" applyBorder="1"/>
    <xf numFmtId="0" fontId="6" fillId="0" borderId="4" xfId="0" applyFont="1" applyFill="1" applyBorder="1"/>
    <xf numFmtId="0" fontId="4" fillId="0" borderId="9" xfId="0" applyFont="1" applyFill="1" applyBorder="1"/>
    <xf numFmtId="0" fontId="6" fillId="0" borderId="6" xfId="0" applyFont="1" applyFill="1" applyBorder="1"/>
    <xf numFmtId="0" fontId="5" fillId="8" borderId="1" xfId="0" applyNumberFormat="1" applyFont="1" applyFill="1" applyBorder="1" applyAlignment="1">
      <alignment vertical="top"/>
    </xf>
    <xf numFmtId="0" fontId="5" fillId="8" borderId="2" xfId="0" applyNumberFormat="1" applyFont="1" applyFill="1" applyBorder="1" applyAlignment="1"/>
    <xf numFmtId="3" fontId="5" fillId="8" borderId="5" xfId="0" applyNumberFormat="1" applyFont="1" applyFill="1" applyBorder="1"/>
    <xf numFmtId="0" fontId="5" fillId="8" borderId="1" xfId="0" applyFont="1" applyFill="1" applyBorder="1"/>
    <xf numFmtId="164" fontId="5" fillId="8" borderId="6" xfId="0" applyNumberFormat="1" applyFont="1" applyFill="1" applyBorder="1"/>
    <xf numFmtId="3" fontId="5" fillId="8" borderId="15" xfId="0" applyNumberFormat="1" applyFont="1" applyFill="1" applyBorder="1"/>
    <xf numFmtId="0" fontId="6" fillId="8" borderId="1" xfId="0" applyFont="1" applyFill="1" applyBorder="1" applyAlignment="1">
      <alignment vertical="top" wrapText="1"/>
    </xf>
    <xf numFmtId="0" fontId="6" fillId="8" borderId="2" xfId="0" applyFont="1" applyFill="1" applyBorder="1"/>
    <xf numFmtId="166" fontId="6" fillId="8" borderId="5" xfId="0" applyNumberFormat="1" applyFont="1" applyFill="1" applyBorder="1"/>
    <xf numFmtId="165" fontId="6" fillId="8" borderId="1" xfId="0" applyNumberFormat="1" applyFont="1" applyFill="1" applyBorder="1"/>
    <xf numFmtId="164" fontId="6" fillId="8" borderId="6" xfId="0" applyNumberFormat="1" applyFont="1" applyFill="1" applyBorder="1"/>
    <xf numFmtId="164" fontId="6" fillId="8" borderId="15" xfId="0" applyNumberFormat="1" applyFont="1" applyFill="1" applyBorder="1"/>
    <xf numFmtId="0" fontId="5" fillId="8" borderId="2" xfId="0" applyFont="1" applyFill="1" applyBorder="1"/>
    <xf numFmtId="0" fontId="5" fillId="8" borderId="5" xfId="0" applyFont="1" applyFill="1" applyBorder="1"/>
    <xf numFmtId="164" fontId="5" fillId="8" borderId="15" xfId="0" applyNumberFormat="1" applyFont="1" applyFill="1" applyBorder="1"/>
    <xf numFmtId="0" fontId="6" fillId="8" borderId="1" xfId="0" applyFont="1" applyFill="1" applyBorder="1"/>
    <xf numFmtId="0" fontId="6" fillId="8" borderId="5" xfId="0" applyFont="1" applyFill="1" applyBorder="1"/>
    <xf numFmtId="0" fontId="5" fillId="8" borderId="19" xfId="0" applyFont="1" applyFill="1" applyBorder="1"/>
    <xf numFmtId="0" fontId="5" fillId="8" borderId="21" xfId="0" applyFont="1" applyFill="1" applyBorder="1"/>
    <xf numFmtId="164" fontId="5" fillId="8" borderId="22" xfId="0" applyNumberFormat="1" applyFont="1" applyFill="1" applyBorder="1"/>
    <xf numFmtId="0" fontId="5" fillId="8" borderId="29" xfId="0" applyFont="1" applyFill="1" applyBorder="1"/>
    <xf numFmtId="164" fontId="5" fillId="8" borderId="23" xfId="0" applyNumberFormat="1" applyFont="1" applyFill="1" applyBorder="1"/>
    <xf numFmtId="0" fontId="6" fillId="8" borderId="7" xfId="0" applyFont="1" applyFill="1" applyBorder="1"/>
    <xf numFmtId="0" fontId="10" fillId="8" borderId="7" xfId="0" applyFont="1" applyFill="1" applyBorder="1" applyAlignment="1">
      <alignment horizontal="center"/>
    </xf>
    <xf numFmtId="0" fontId="6" fillId="8" borderId="18" xfId="0" applyFont="1" applyFill="1" applyBorder="1"/>
    <xf numFmtId="0" fontId="6" fillId="8" borderId="13" xfId="0" applyFont="1" applyFill="1" applyBorder="1"/>
    <xf numFmtId="0" fontId="6" fillId="7" borderId="1" xfId="0" quotePrefix="1" applyNumberFormat="1" applyFont="1" applyFill="1" applyBorder="1" applyAlignment="1">
      <alignment vertical="top"/>
    </xf>
    <xf numFmtId="3" fontId="6" fillId="7" borderId="5" xfId="0" applyNumberFormat="1" applyFont="1" applyFill="1" applyBorder="1"/>
    <xf numFmtId="164" fontId="33" fillId="7" borderId="1" xfId="0" applyNumberFormat="1" applyFont="1" applyFill="1" applyBorder="1" applyAlignment="1">
      <alignment horizontal="center"/>
    </xf>
    <xf numFmtId="0" fontId="7" fillId="7" borderId="10" xfId="0" applyFont="1" applyFill="1" applyBorder="1" applyAlignment="1">
      <alignment horizontal="center"/>
    </xf>
    <xf numFmtId="0" fontId="6" fillId="7" borderId="9" xfId="0" applyFont="1" applyFill="1" applyBorder="1"/>
    <xf numFmtId="0" fontId="6" fillId="7" borderId="11" xfId="0" applyFont="1" applyFill="1" applyBorder="1"/>
    <xf numFmtId="0" fontId="11" fillId="7" borderId="1" xfId="0" applyFont="1" applyFill="1" applyBorder="1" applyAlignment="1">
      <alignment horizontal="center"/>
    </xf>
    <xf numFmtId="0" fontId="13" fillId="4" borderId="0" xfId="0" applyFont="1" applyFill="1"/>
    <xf numFmtId="0" fontId="37" fillId="4" borderId="0" xfId="0" applyFont="1" applyFill="1"/>
    <xf numFmtId="0" fontId="14" fillId="4" borderId="0" xfId="0" applyFont="1" applyFill="1"/>
    <xf numFmtId="0" fontId="0" fillId="4" borderId="0" xfId="0" applyFill="1"/>
    <xf numFmtId="0" fontId="36" fillId="0" borderId="0" xfId="2"/>
    <xf numFmtId="0" fontId="24" fillId="0" borderId="0" xfId="2" applyFont="1"/>
    <xf numFmtId="0" fontId="14" fillId="0" borderId="0" xfId="2" applyFont="1"/>
    <xf numFmtId="0" fontId="38" fillId="0" borderId="0" xfId="2" applyFont="1"/>
    <xf numFmtId="164" fontId="38" fillId="14" borderId="20" xfId="2" quotePrefix="1" applyNumberFormat="1" applyFont="1" applyFill="1" applyBorder="1" applyAlignment="1">
      <alignment horizontal="center" wrapText="1"/>
    </xf>
    <xf numFmtId="164" fontId="38" fillId="0" borderId="24" xfId="2" quotePrefix="1" applyNumberFormat="1" applyFont="1" applyBorder="1" applyAlignment="1">
      <alignment horizontal="center" wrapText="1"/>
    </xf>
    <xf numFmtId="164" fontId="38" fillId="14" borderId="21" xfId="2" quotePrefix="1" applyNumberFormat="1" applyFont="1" applyFill="1" applyBorder="1" applyAlignment="1">
      <alignment horizontal="center" wrapText="1"/>
    </xf>
    <xf numFmtId="164" fontId="38" fillId="14" borderId="19" xfId="2" quotePrefix="1" applyNumberFormat="1" applyFont="1" applyFill="1" applyBorder="1" applyAlignment="1">
      <alignment horizontal="center" wrapText="1"/>
    </xf>
    <xf numFmtId="164" fontId="38" fillId="14" borderId="22" xfId="2" quotePrefix="1" applyNumberFormat="1" applyFont="1" applyFill="1" applyBorder="1" applyAlignment="1">
      <alignment horizontal="center" wrapText="1"/>
    </xf>
    <xf numFmtId="164" fontId="38" fillId="14" borderId="20" xfId="2" applyNumberFormat="1" applyFont="1" applyFill="1" applyBorder="1" applyAlignment="1" applyProtection="1">
      <alignment horizontal="center" wrapText="1"/>
      <protection locked="0"/>
    </xf>
    <xf numFmtId="164" fontId="38" fillId="14" borderId="22" xfId="2" applyNumberFormat="1" applyFont="1" applyFill="1" applyBorder="1" applyAlignment="1">
      <alignment horizontal="center" wrapText="1"/>
    </xf>
    <xf numFmtId="164" fontId="38" fillId="14" borderId="31" xfId="2" applyNumberFormat="1" applyFont="1" applyFill="1" applyBorder="1" applyAlignment="1">
      <alignment horizontal="center" wrapText="1"/>
    </xf>
    <xf numFmtId="164" fontId="38" fillId="6" borderId="32" xfId="2" quotePrefix="1" applyNumberFormat="1" applyFont="1" applyFill="1" applyBorder="1" applyAlignment="1">
      <alignment horizontal="center" wrapText="1"/>
    </xf>
    <xf numFmtId="164" fontId="38" fillId="6" borderId="24" xfId="2" quotePrefix="1" applyNumberFormat="1" applyFont="1" applyFill="1" applyBorder="1" applyAlignment="1">
      <alignment horizontal="center" wrapText="1"/>
    </xf>
    <xf numFmtId="0" fontId="39" fillId="0" borderId="0" xfId="2" applyFont="1"/>
    <xf numFmtId="49" fontId="39" fillId="3" borderId="10" xfId="2" applyNumberFormat="1" applyFont="1" applyFill="1" applyBorder="1" applyAlignment="1" applyProtection="1">
      <alignment horizontal="left" vertical="center" wrapText="1"/>
      <protection locked="0"/>
    </xf>
    <xf numFmtId="38" fontId="39" fillId="3" borderId="10" xfId="2" applyNumberFormat="1" applyFont="1" applyFill="1" applyBorder="1" applyAlignment="1" applyProtection="1">
      <alignment horizontal="center"/>
      <protection locked="0"/>
    </xf>
    <xf numFmtId="38" fontId="38" fillId="3" borderId="12" xfId="2" applyNumberFormat="1" applyFont="1" applyFill="1" applyBorder="1" applyAlignment="1" applyProtection="1">
      <alignment horizontal="center"/>
      <protection locked="0"/>
    </xf>
    <xf numFmtId="38" fontId="39" fillId="11" borderId="10" xfId="2" applyNumberFormat="1" applyFont="1" applyFill="1" applyBorder="1" applyAlignment="1">
      <alignment horizontal="center"/>
    </xf>
    <xf numFmtId="164" fontId="39" fillId="3" borderId="9" xfId="2" applyNumberFormat="1" applyFont="1" applyFill="1" applyBorder="1" applyAlignment="1" applyProtection="1">
      <alignment horizontal="center"/>
      <protection locked="0"/>
    </xf>
    <xf numFmtId="44" fontId="38" fillId="11" borderId="10" xfId="7" applyFont="1" applyFill="1" applyBorder="1" applyAlignment="1" applyProtection="1">
      <alignment horizontal="center"/>
    </xf>
    <xf numFmtId="164" fontId="40" fillId="11" borderId="10" xfId="2" applyNumberFormat="1" applyFont="1" applyFill="1" applyBorder="1" applyAlignment="1">
      <alignment horizontal="center"/>
    </xf>
    <xf numFmtId="44" fontId="38" fillId="11" borderId="11" xfId="2" applyNumberFormat="1" applyFont="1" applyFill="1" applyBorder="1" applyAlignment="1">
      <alignment horizontal="center"/>
    </xf>
    <xf numFmtId="166" fontId="39" fillId="3" borderId="9" xfId="2" applyNumberFormat="1" applyFont="1" applyFill="1" applyBorder="1" applyAlignment="1" applyProtection="1">
      <alignment horizontal="center"/>
      <protection locked="0"/>
    </xf>
    <xf numFmtId="3" fontId="39" fillId="3" borderId="10" xfId="2" applyNumberFormat="1" applyFont="1" applyFill="1" applyBorder="1" applyAlignment="1" applyProtection="1">
      <alignment horizontal="center"/>
      <protection locked="0"/>
    </xf>
    <xf numFmtId="44" fontId="38" fillId="11" borderId="11" xfId="7" applyFont="1" applyFill="1" applyBorder="1" applyAlignment="1" applyProtection="1">
      <alignment horizontal="center"/>
    </xf>
    <xf numFmtId="169" fontId="39" fillId="3" borderId="9" xfId="2" applyNumberFormat="1" applyFont="1" applyFill="1" applyBorder="1" applyAlignment="1">
      <alignment horizontal="center"/>
    </xf>
    <xf numFmtId="170" fontId="39" fillId="3" borderId="10" xfId="2" applyNumberFormat="1" applyFont="1" applyFill="1" applyBorder="1" applyAlignment="1" applyProtection="1">
      <alignment horizontal="center"/>
      <protection locked="0"/>
    </xf>
    <xf numFmtId="164" fontId="39" fillId="3" borderId="9" xfId="2" applyNumberFormat="1" applyFont="1" applyFill="1" applyBorder="1" applyAlignment="1">
      <alignment horizontal="center"/>
    </xf>
    <xf numFmtId="164" fontId="39" fillId="3" borderId="33" xfId="7" applyNumberFormat="1" applyFont="1" applyFill="1" applyBorder="1" applyAlignment="1" applyProtection="1">
      <alignment horizontal="center"/>
    </xf>
    <xf numFmtId="42" fontId="38" fillId="6" borderId="34" xfId="7" applyNumberFormat="1" applyFont="1" applyFill="1" applyBorder="1" applyAlignment="1" applyProtection="1">
      <alignment horizontal="center"/>
    </xf>
    <xf numFmtId="42" fontId="38" fillId="6" borderId="35" xfId="7" applyNumberFormat="1" applyFont="1" applyFill="1" applyBorder="1" applyAlignment="1" applyProtection="1">
      <alignment horizontal="center"/>
    </xf>
    <xf numFmtId="49" fontId="39" fillId="10" borderId="10" xfId="2" applyNumberFormat="1" applyFont="1" applyFill="1" applyBorder="1" applyAlignment="1" applyProtection="1">
      <alignment horizontal="left" vertical="center" wrapText="1"/>
      <protection locked="0"/>
    </xf>
    <xf numFmtId="38" fontId="39" fillId="10" borderId="10" xfId="2" applyNumberFormat="1" applyFont="1" applyFill="1" applyBorder="1" applyAlignment="1" applyProtection="1">
      <alignment horizontal="center"/>
      <protection locked="0"/>
    </xf>
    <xf numFmtId="38" fontId="38" fillId="10" borderId="12" xfId="2" applyNumberFormat="1" applyFont="1" applyFill="1" applyBorder="1" applyAlignment="1" applyProtection="1">
      <alignment horizontal="center"/>
      <protection locked="0"/>
    </xf>
    <xf numFmtId="38" fontId="39" fillId="10" borderId="10" xfId="2" applyNumberFormat="1" applyFont="1" applyFill="1" applyBorder="1" applyAlignment="1">
      <alignment horizontal="center"/>
    </xf>
    <xf numFmtId="164" fontId="39" fillId="10" borderId="9" xfId="2" applyNumberFormat="1" applyFont="1" applyFill="1" applyBorder="1" applyAlignment="1" applyProtection="1">
      <alignment horizontal="center"/>
      <protection locked="0"/>
    </xf>
    <xf numFmtId="44" fontId="38" fillId="10" borderId="10" xfId="7" applyFont="1" applyFill="1" applyBorder="1" applyAlignment="1" applyProtection="1">
      <alignment horizontal="center"/>
    </xf>
    <xf numFmtId="44" fontId="38" fillId="10" borderId="11" xfId="2" applyNumberFormat="1" applyFont="1" applyFill="1" applyBorder="1" applyAlignment="1">
      <alignment horizontal="center"/>
    </xf>
    <xf numFmtId="166" fontId="39" fillId="10" borderId="9" xfId="2" applyNumberFormat="1" applyFont="1" applyFill="1" applyBorder="1" applyAlignment="1" applyProtection="1">
      <alignment horizontal="center"/>
      <protection locked="0"/>
    </xf>
    <xf numFmtId="3" fontId="39" fillId="10" borderId="10" xfId="2" applyNumberFormat="1" applyFont="1" applyFill="1" applyBorder="1" applyAlignment="1" applyProtection="1">
      <alignment horizontal="center"/>
      <protection locked="0"/>
    </xf>
    <xf numFmtId="44" fontId="38" fillId="10" borderId="11" xfId="7" applyFont="1" applyFill="1" applyBorder="1" applyAlignment="1" applyProtection="1">
      <alignment horizontal="center"/>
    </xf>
    <xf numFmtId="169" fontId="39" fillId="10" borderId="9" xfId="2" applyNumberFormat="1" applyFont="1" applyFill="1" applyBorder="1" applyAlignment="1">
      <alignment horizontal="center"/>
    </xf>
    <xf numFmtId="170" fontId="39" fillId="10" borderId="10" xfId="2" applyNumberFormat="1" applyFont="1" applyFill="1" applyBorder="1" applyAlignment="1" applyProtection="1">
      <alignment horizontal="center"/>
      <protection locked="0"/>
    </xf>
    <xf numFmtId="164" fontId="39" fillId="10" borderId="9" xfId="2" applyNumberFormat="1" applyFont="1" applyFill="1" applyBorder="1" applyAlignment="1">
      <alignment horizontal="center"/>
    </xf>
    <xf numFmtId="164" fontId="39" fillId="10" borderId="33" xfId="7" applyNumberFormat="1" applyFont="1" applyFill="1" applyBorder="1" applyAlignment="1" applyProtection="1">
      <alignment horizontal="center"/>
    </xf>
    <xf numFmtId="42" fontId="38" fillId="10" borderId="34" xfId="7" applyNumberFormat="1" applyFont="1" applyFill="1" applyBorder="1" applyAlignment="1" applyProtection="1">
      <alignment horizontal="center"/>
    </xf>
    <xf numFmtId="42" fontId="38" fillId="10" borderId="35" xfId="7" applyNumberFormat="1" applyFont="1" applyFill="1" applyBorder="1" applyAlignment="1" applyProtection="1">
      <alignment horizontal="center"/>
    </xf>
    <xf numFmtId="164" fontId="40" fillId="10" borderId="10" xfId="2" applyNumberFormat="1" applyFont="1" applyFill="1" applyBorder="1" applyAlignment="1">
      <alignment horizontal="center"/>
    </xf>
    <xf numFmtId="164" fontId="38" fillId="8" borderId="36" xfId="2" quotePrefix="1" applyNumberFormat="1" applyFont="1" applyFill="1" applyBorder="1" applyAlignment="1">
      <alignment horizontal="left"/>
    </xf>
    <xf numFmtId="164" fontId="39" fillId="8" borderId="37" xfId="2" quotePrefix="1" applyNumberFormat="1" applyFont="1" applyFill="1" applyBorder="1" applyAlignment="1">
      <alignment horizontal="center" wrapText="1"/>
    </xf>
    <xf numFmtId="164" fontId="38" fillId="8" borderId="36" xfId="2" quotePrefix="1" applyNumberFormat="1" applyFont="1" applyFill="1" applyBorder="1" applyAlignment="1">
      <alignment horizontal="center"/>
    </xf>
    <xf numFmtId="164" fontId="39" fillId="8" borderId="36" xfId="2" applyNumberFormat="1" applyFont="1" applyFill="1" applyBorder="1" applyAlignment="1">
      <alignment horizontal="center"/>
    </xf>
    <xf numFmtId="38" fontId="39" fillId="8" borderId="36" xfId="2" applyNumberFormat="1" applyFont="1" applyFill="1" applyBorder="1" applyAlignment="1">
      <alignment horizontal="center"/>
    </xf>
    <xf numFmtId="38" fontId="39" fillId="8" borderId="38" xfId="2" applyNumberFormat="1" applyFont="1" applyFill="1" applyBorder="1" applyAlignment="1">
      <alignment horizontal="center"/>
    </xf>
    <xf numFmtId="38" fontId="39" fillId="8" borderId="27" xfId="2" applyNumberFormat="1" applyFont="1" applyFill="1" applyBorder="1" applyAlignment="1">
      <alignment horizontal="center"/>
    </xf>
    <xf numFmtId="164" fontId="39" fillId="8" borderId="39" xfId="2" applyNumberFormat="1" applyFont="1" applyFill="1" applyBorder="1" applyAlignment="1">
      <alignment horizontal="center"/>
    </xf>
    <xf numFmtId="164" fontId="38" fillId="8" borderId="40" xfId="2" applyNumberFormat="1" applyFont="1" applyFill="1" applyBorder="1" applyAlignment="1">
      <alignment horizontal="center"/>
    </xf>
    <xf numFmtId="164" fontId="38" fillId="8" borderId="27" xfId="2" applyNumberFormat="1" applyFont="1" applyFill="1" applyBorder="1" applyAlignment="1">
      <alignment horizontal="center"/>
    </xf>
    <xf numFmtId="3" fontId="39" fillId="8" borderId="36" xfId="2" applyNumberFormat="1" applyFont="1" applyFill="1" applyBorder="1" applyAlignment="1">
      <alignment horizontal="center"/>
    </xf>
    <xf numFmtId="164" fontId="38" fillId="8" borderId="39" xfId="2" applyNumberFormat="1" applyFont="1" applyFill="1" applyBorder="1" applyAlignment="1">
      <alignment horizontal="center"/>
    </xf>
    <xf numFmtId="164" fontId="38" fillId="8" borderId="36" xfId="2" applyNumberFormat="1" applyFont="1" applyFill="1" applyBorder="1" applyAlignment="1" applyProtection="1">
      <alignment horizontal="center"/>
      <protection locked="0"/>
    </xf>
    <xf numFmtId="42" fontId="38" fillId="8" borderId="37" xfId="7" applyNumberFormat="1" applyFont="1" applyFill="1" applyBorder="1" applyAlignment="1" applyProtection="1">
      <alignment horizontal="center"/>
    </xf>
    <xf numFmtId="42" fontId="38" fillId="8" borderId="41" xfId="7" applyNumberFormat="1" applyFont="1" applyFill="1" applyBorder="1" applyAlignment="1" applyProtection="1">
      <alignment horizontal="center"/>
    </xf>
    <xf numFmtId="0" fontId="5" fillId="0" borderId="17" xfId="0" applyFont="1" applyFill="1" applyBorder="1"/>
    <xf numFmtId="0" fontId="42" fillId="0" borderId="0" xfId="8"/>
    <xf numFmtId="0" fontId="43" fillId="8" borderId="1" xfId="8" applyFont="1" applyFill="1" applyBorder="1" applyAlignment="1">
      <alignment horizontal="center" vertical="center" wrapText="1"/>
    </xf>
    <xf numFmtId="171" fontId="43" fillId="8" borderId="1" xfId="8" applyNumberFormat="1" applyFont="1" applyFill="1" applyBorder="1" applyAlignment="1">
      <alignment horizontal="center" vertical="center" wrapText="1"/>
    </xf>
    <xf numFmtId="0" fontId="44" fillId="0" borderId="0" xfId="8" applyFont="1" applyAlignment="1">
      <alignment horizontal="center" vertical="center"/>
    </xf>
    <xf numFmtId="0" fontId="44" fillId="0" borderId="1" xfId="8" quotePrefix="1" applyFont="1" applyBorder="1" applyAlignment="1">
      <alignment horizontal="center" vertical="center"/>
    </xf>
    <xf numFmtId="0" fontId="44" fillId="0" borderId="1" xfId="8" applyFont="1" applyBorder="1" applyAlignment="1">
      <alignment vertical="center" wrapText="1"/>
    </xf>
    <xf numFmtId="171" fontId="44" fillId="0" borderId="1" xfId="8" applyNumberFormat="1" applyFont="1" applyBorder="1" applyAlignment="1">
      <alignment horizontal="center" vertical="center"/>
    </xf>
    <xf numFmtId="168" fontId="44" fillId="3" borderId="1" xfId="9" applyNumberFormat="1" applyFont="1" applyFill="1" applyBorder="1" applyAlignment="1">
      <alignment horizontal="center" vertical="center"/>
    </xf>
    <xf numFmtId="0" fontId="44" fillId="0" borderId="0" xfId="8" applyFont="1"/>
    <xf numFmtId="0" fontId="43" fillId="8" borderId="2" xfId="8" quotePrefix="1" applyFont="1" applyFill="1" applyBorder="1" applyAlignment="1">
      <alignment vertical="center"/>
    </xf>
    <xf numFmtId="0" fontId="43" fillId="8" borderId="25" xfId="8" quotePrefix="1" applyFont="1" applyFill="1" applyBorder="1" applyAlignment="1">
      <alignment vertical="center"/>
    </xf>
    <xf numFmtId="0" fontId="43" fillId="8" borderId="25" xfId="8" quotePrefix="1" applyFont="1" applyFill="1" applyBorder="1" applyAlignment="1">
      <alignment horizontal="center" vertical="center"/>
    </xf>
    <xf numFmtId="171" fontId="43" fillId="8" borderId="25" xfId="8" quotePrefix="1" applyNumberFormat="1" applyFont="1" applyFill="1" applyBorder="1" applyAlignment="1">
      <alignment vertical="center"/>
    </xf>
    <xf numFmtId="171" fontId="42" fillId="0" borderId="0" xfId="8" applyNumberFormat="1"/>
    <xf numFmtId="0" fontId="43" fillId="8" borderId="1" xfId="8" applyFont="1" applyFill="1" applyBorder="1" applyAlignment="1">
      <alignment vertical="center"/>
    </xf>
    <xf numFmtId="0" fontId="43" fillId="8" borderId="25" xfId="8" applyFont="1" applyFill="1" applyBorder="1" applyAlignment="1">
      <alignment vertical="center"/>
    </xf>
    <xf numFmtId="0" fontId="43" fillId="8" borderId="26" xfId="8" applyFont="1" applyFill="1" applyBorder="1" applyAlignment="1">
      <alignment vertical="center"/>
    </xf>
    <xf numFmtId="168" fontId="43" fillId="8" borderId="1" xfId="9" applyNumberFormat="1" applyFont="1" applyFill="1" applyBorder="1" applyAlignment="1">
      <alignment vertical="center"/>
    </xf>
    <xf numFmtId="0" fontId="46" fillId="0" borderId="0" xfId="8" applyFont="1"/>
    <xf numFmtId="0" fontId="46" fillId="0" borderId="0" xfId="8" applyFont="1" applyAlignment="1">
      <alignment horizontal="center"/>
    </xf>
    <xf numFmtId="171" fontId="46" fillId="0" borderId="0" xfId="8" applyNumberFormat="1" applyFont="1" applyAlignment="1">
      <alignment horizontal="center"/>
    </xf>
    <xf numFmtId="0" fontId="43" fillId="3" borderId="0" xfId="8" applyFont="1" applyFill="1"/>
    <xf numFmtId="0" fontId="42" fillId="3" borderId="0" xfId="8" applyFill="1" applyAlignment="1">
      <alignment horizontal="center"/>
    </xf>
    <xf numFmtId="0" fontId="42" fillId="0" borderId="0" xfId="8" applyAlignment="1">
      <alignment horizontal="center"/>
    </xf>
    <xf numFmtId="171" fontId="42" fillId="0" borderId="0" xfId="8" applyNumberFormat="1" applyAlignment="1">
      <alignment horizontal="center"/>
    </xf>
    <xf numFmtId="0" fontId="44" fillId="0" borderId="2" xfId="8" quotePrefix="1" applyFont="1" applyBorder="1" applyAlignment="1">
      <alignment horizontal="center" vertical="center"/>
    </xf>
    <xf numFmtId="171" fontId="44" fillId="0" borderId="26" xfId="8" applyNumberFormat="1" applyFont="1" applyBorder="1" applyAlignment="1">
      <alignment horizontal="center" vertical="center"/>
    </xf>
    <xf numFmtId="0" fontId="43" fillId="8" borderId="7" xfId="8" applyFont="1" applyFill="1" applyBorder="1" applyAlignment="1">
      <alignment horizontal="center" vertical="center" wrapText="1"/>
    </xf>
    <xf numFmtId="164" fontId="44" fillId="0" borderId="1" xfId="9" applyNumberFormat="1" applyFont="1" applyBorder="1" applyAlignment="1">
      <alignment vertical="center"/>
    </xf>
    <xf numFmtId="164" fontId="44" fillId="3" borderId="1" xfId="9" applyNumberFormat="1" applyFont="1" applyFill="1" applyBorder="1" applyAlignment="1">
      <alignment vertical="center"/>
    </xf>
    <xf numFmtId="164" fontId="43" fillId="8" borderId="1" xfId="8" quotePrefix="1" applyNumberFormat="1" applyFont="1" applyFill="1" applyBorder="1" applyAlignment="1">
      <alignment vertical="center"/>
    </xf>
    <xf numFmtId="164" fontId="43" fillId="8" borderId="1" xfId="9" applyNumberFormat="1" applyFont="1" applyFill="1" applyBorder="1" applyAlignment="1">
      <alignment vertical="center"/>
    </xf>
    <xf numFmtId="0" fontId="42" fillId="0" borderId="0" xfId="8" applyFill="1"/>
    <xf numFmtId="164" fontId="43" fillId="8" borderId="26" xfId="8" quotePrefix="1" applyNumberFormat="1" applyFont="1" applyFill="1" applyBorder="1" applyAlignment="1">
      <alignment vertical="center"/>
    </xf>
    <xf numFmtId="168" fontId="43" fillId="8" borderId="26" xfId="8" quotePrefix="1" applyNumberFormat="1" applyFont="1" applyFill="1" applyBorder="1" applyAlignment="1">
      <alignment vertical="center"/>
    </xf>
    <xf numFmtId="44" fontId="45" fillId="8" borderId="1" xfId="8" applyNumberFormat="1" applyFont="1" applyFill="1" applyBorder="1" applyAlignment="1">
      <alignment horizontal="center" vertical="center"/>
    </xf>
    <xf numFmtId="0" fontId="43" fillId="8" borderId="26" xfId="8" quotePrefix="1" applyFont="1" applyFill="1" applyBorder="1" applyAlignment="1">
      <alignment vertical="center"/>
    </xf>
    <xf numFmtId="44" fontId="43" fillId="8" borderId="1" xfId="8" applyNumberFormat="1" applyFont="1" applyFill="1" applyBorder="1" applyAlignment="1">
      <alignment horizontal="center" vertical="center"/>
    </xf>
    <xf numFmtId="0" fontId="44" fillId="0" borderId="1" xfId="8" applyFont="1" applyBorder="1" applyAlignment="1">
      <alignment horizontal="center" vertical="center" wrapText="1"/>
    </xf>
    <xf numFmtId="0" fontId="43" fillId="8" borderId="25" xfId="8" applyFont="1" applyFill="1" applyBorder="1" applyAlignment="1">
      <alignment horizontal="center" vertical="center"/>
    </xf>
    <xf numFmtId="0" fontId="4" fillId="0" borderId="0" xfId="0" applyFont="1"/>
    <xf numFmtId="0" fontId="4" fillId="0" borderId="0" xfId="0" applyFont="1" applyAlignment="1">
      <alignment wrapText="1"/>
    </xf>
    <xf numFmtId="0" fontId="0" fillId="0" borderId="0" xfId="0" applyAlignment="1">
      <alignment wrapText="1"/>
    </xf>
    <xf numFmtId="0" fontId="4" fillId="0" borderId="0" xfId="0" applyFont="1" applyAlignment="1"/>
    <xf numFmtId="0" fontId="25" fillId="0" borderId="0" xfId="0" applyFont="1" applyAlignment="1">
      <alignment horizontal="center" vertical="center"/>
    </xf>
    <xf numFmtId="0" fontId="7" fillId="0" borderId="28" xfId="0" applyFont="1" applyBorder="1" applyAlignment="1">
      <alignment horizontal="center"/>
    </xf>
    <xf numFmtId="0" fontId="0" fillId="0" borderId="30" xfId="0" applyBorder="1" applyAlignment="1"/>
    <xf numFmtId="0" fontId="4" fillId="0" borderId="0" xfId="0" applyFont="1" applyAlignment="1">
      <alignment wrapText="1"/>
    </xf>
    <xf numFmtId="0" fontId="0" fillId="0" borderId="0" xfId="0" applyAlignment="1">
      <alignment wrapText="1"/>
    </xf>
    <xf numFmtId="0" fontId="2" fillId="0" borderId="0" xfId="0" applyFont="1" applyAlignment="1">
      <alignment vertical="top" wrapText="1"/>
    </xf>
    <xf numFmtId="0" fontId="0" fillId="0" borderId="0" xfId="0" applyAlignment="1">
      <alignment vertical="top"/>
    </xf>
    <xf numFmtId="0" fontId="2" fillId="0" borderId="0" xfId="0" applyFont="1" applyAlignment="1">
      <alignment horizontal="left" vertical="top" wrapText="1"/>
    </xf>
    <xf numFmtId="0" fontId="0" fillId="0" borderId="0" xfId="0" applyAlignment="1">
      <alignment horizontal="left" vertical="top"/>
    </xf>
    <xf numFmtId="0" fontId="4" fillId="0" borderId="0" xfId="0" applyFont="1" applyAlignment="1">
      <alignment vertical="top" wrapText="1"/>
    </xf>
    <xf numFmtId="0" fontId="4" fillId="0" borderId="0" xfId="0" applyFont="1" applyAlignment="1">
      <alignment horizontal="left" vertical="top" wrapText="1"/>
    </xf>
    <xf numFmtId="0" fontId="4" fillId="0" borderId="0" xfId="0" applyFont="1" applyAlignment="1"/>
    <xf numFmtId="49" fontId="38" fillId="10" borderId="2" xfId="2" applyNumberFormat="1" applyFont="1" applyFill="1" applyBorder="1" applyAlignment="1" applyProtection="1">
      <alignment horizontal="left" vertical="center" wrapText="1"/>
      <protection locked="0"/>
    </xf>
    <xf numFmtId="49" fontId="38" fillId="10" borderId="26" xfId="2" applyNumberFormat="1" applyFont="1" applyFill="1" applyBorder="1" applyAlignment="1" applyProtection="1">
      <alignment horizontal="left" vertical="center" wrapText="1"/>
      <protection locked="0"/>
    </xf>
    <xf numFmtId="0" fontId="2" fillId="0" borderId="0" xfId="0" applyFont="1" applyAlignment="1">
      <alignment vertical="top"/>
    </xf>
    <xf numFmtId="0" fontId="43" fillId="0" borderId="33" xfId="8" applyFont="1" applyBorder="1" applyAlignment="1">
      <alignment horizontal="center" vertical="center" wrapText="1"/>
    </xf>
  </cellXfs>
  <cellStyles count="10">
    <cellStyle name="Currency 2" xfId="7" xr:uid="{95EDF037-ECE4-4A3D-B26D-F42CEB3638E4}"/>
    <cellStyle name="Currency 2 2" xfId="6" xr:uid="{00000000-0005-0000-0000-000001000000}"/>
    <cellStyle name="Currency 3" xfId="4" xr:uid="{00000000-0005-0000-0000-000002000000}"/>
    <cellStyle name="Currency 4" xfId="9" xr:uid="{A99FDB7E-2C4D-4786-8652-A9D14AEE598C}"/>
    <cellStyle name="Normal" xfId="0" builtinId="0"/>
    <cellStyle name="Normal 2" xfId="2" xr:uid="{00000000-0005-0000-0000-000004000000}"/>
    <cellStyle name="Normal 3" xfId="8" xr:uid="{D7B9A962-845B-41A9-A5B7-2082DBAD5219}"/>
    <cellStyle name="Normal 3 2" xfId="5" xr:uid="{00000000-0005-0000-0000-000005000000}"/>
    <cellStyle name="Normal 4" xfId="3" xr:uid="{00000000-0005-0000-0000-000006000000}"/>
    <cellStyle name="Normal_020812 Navy LowCostCS Costing" xfId="1" xr:uid="{00000000-0005-0000-0000-000008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E9A3"/>
      <color rgb="FFFF99FF"/>
      <color rgb="FFECECEC"/>
      <color rgb="FFCCFFCC"/>
      <color rgb="FFCCFFFF"/>
      <color rgb="FFF79646"/>
      <color rgb="FFC6E6A2"/>
      <color rgb="FF5BFFBD"/>
      <color rgb="FF00FF99"/>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iler1\cmo_homes\CMO_Guest\dbreen\Documents\Cost%20Proposal%20Standards\Source%20of%20new%20Travel%20ta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2"/>
  <sheetViews>
    <sheetView workbookViewId="0">
      <selection activeCell="C32" sqref="C32"/>
    </sheetView>
  </sheetViews>
  <sheetFormatPr defaultRowHeight="14" x14ac:dyDescent="0.3"/>
  <cols>
    <col min="1" max="1" width="16.81640625" style="82" customWidth="1"/>
    <col min="2" max="2" width="27.453125" style="82" customWidth="1"/>
    <col min="3" max="3" width="128.81640625" style="82" customWidth="1"/>
  </cols>
  <sheetData>
    <row r="1" spans="1:3" s="81" customFormat="1" x14ac:dyDescent="0.3">
      <c r="A1" s="83" t="s">
        <v>0</v>
      </c>
      <c r="B1" s="83" t="s">
        <v>1</v>
      </c>
      <c r="C1" s="83" t="s">
        <v>2</v>
      </c>
    </row>
    <row r="2" spans="1:3" x14ac:dyDescent="0.3">
      <c r="A2" s="82" t="s">
        <v>3</v>
      </c>
      <c r="C2" s="82" t="s">
        <v>4</v>
      </c>
    </row>
    <row r="3" spans="1:3" ht="42" x14ac:dyDescent="0.3">
      <c r="A3" s="82" t="s">
        <v>5</v>
      </c>
      <c r="B3" s="82" t="s">
        <v>6</v>
      </c>
      <c r="C3" s="82" t="s">
        <v>7</v>
      </c>
    </row>
    <row r="4" spans="1:3" x14ac:dyDescent="0.3">
      <c r="A4" s="82" t="s">
        <v>5</v>
      </c>
      <c r="B4" s="82" t="s">
        <v>6</v>
      </c>
      <c r="C4" s="82" t="s">
        <v>8</v>
      </c>
    </row>
    <row r="5" spans="1:3" x14ac:dyDescent="0.3">
      <c r="A5" s="82" t="s">
        <v>5</v>
      </c>
      <c r="B5" s="82" t="s">
        <v>9</v>
      </c>
      <c r="C5" s="82" t="s">
        <v>10</v>
      </c>
    </row>
    <row r="6" spans="1:3" x14ac:dyDescent="0.3">
      <c r="A6" s="82" t="s">
        <v>11</v>
      </c>
      <c r="B6" s="82" t="s">
        <v>6</v>
      </c>
      <c r="C6" s="82" t="s">
        <v>12</v>
      </c>
    </row>
    <row r="7" spans="1:3" x14ac:dyDescent="0.3">
      <c r="A7" s="82" t="s">
        <v>11</v>
      </c>
      <c r="B7" s="82" t="s">
        <v>13</v>
      </c>
      <c r="C7" s="82" t="s">
        <v>14</v>
      </c>
    </row>
    <row r="8" spans="1:3" x14ac:dyDescent="0.3">
      <c r="A8" s="82" t="s">
        <v>11</v>
      </c>
      <c r="B8" s="82" t="s">
        <v>15</v>
      </c>
      <c r="C8" s="82" t="s">
        <v>16</v>
      </c>
    </row>
    <row r="9" spans="1:3" x14ac:dyDescent="0.3">
      <c r="A9" s="82" t="s">
        <v>17</v>
      </c>
      <c r="B9" s="82" t="s">
        <v>18</v>
      </c>
      <c r="C9" s="82" t="s">
        <v>19</v>
      </c>
    </row>
    <row r="10" spans="1:3" x14ac:dyDescent="0.3">
      <c r="A10" s="82" t="s">
        <v>20</v>
      </c>
      <c r="B10" s="82" t="s">
        <v>13</v>
      </c>
      <c r="C10" s="82" t="s">
        <v>21</v>
      </c>
    </row>
    <row r="11" spans="1:3" x14ac:dyDescent="0.3">
      <c r="A11" s="82" t="s">
        <v>20</v>
      </c>
      <c r="B11" s="82" t="s">
        <v>18</v>
      </c>
      <c r="C11" s="82" t="s">
        <v>22</v>
      </c>
    </row>
    <row r="12" spans="1:3" x14ac:dyDescent="0.3">
      <c r="A12" s="82" t="s">
        <v>20</v>
      </c>
      <c r="B12" s="82" t="s">
        <v>13</v>
      </c>
      <c r="C12" s="82" t="s">
        <v>23</v>
      </c>
    </row>
    <row r="13" spans="1:3" x14ac:dyDescent="0.3">
      <c r="A13" s="82" t="s">
        <v>20</v>
      </c>
      <c r="B13" s="82" t="s">
        <v>24</v>
      </c>
      <c r="C13" s="82" t="s">
        <v>25</v>
      </c>
    </row>
    <row r="14" spans="1:3" x14ac:dyDescent="0.3">
      <c r="A14" s="82" t="s">
        <v>20</v>
      </c>
      <c r="B14" s="82" t="s">
        <v>26</v>
      </c>
      <c r="C14" s="82" t="s">
        <v>27</v>
      </c>
    </row>
    <row r="15" spans="1:3" x14ac:dyDescent="0.3">
      <c r="A15" s="82" t="s">
        <v>20</v>
      </c>
      <c r="B15" s="82" t="s">
        <v>9</v>
      </c>
      <c r="C15" s="82" t="s">
        <v>28</v>
      </c>
    </row>
    <row r="16" spans="1:3" x14ac:dyDescent="0.3">
      <c r="A16" s="86" t="s">
        <v>20</v>
      </c>
      <c r="B16" s="82" t="s">
        <v>29</v>
      </c>
      <c r="C16" s="82" t="s">
        <v>30</v>
      </c>
    </row>
    <row r="17" spans="1:3" x14ac:dyDescent="0.3">
      <c r="A17" s="86" t="s">
        <v>20</v>
      </c>
      <c r="B17" s="82" t="s">
        <v>24</v>
      </c>
      <c r="C17" s="82" t="s">
        <v>31</v>
      </c>
    </row>
    <row r="18" spans="1:3" x14ac:dyDescent="0.3">
      <c r="A18" s="82" t="s">
        <v>20</v>
      </c>
      <c r="B18" s="82" t="s">
        <v>32</v>
      </c>
      <c r="C18" s="82" t="s">
        <v>33</v>
      </c>
    </row>
    <row r="19" spans="1:3" x14ac:dyDescent="0.3">
      <c r="A19" s="82" t="s">
        <v>34</v>
      </c>
      <c r="B19" s="82" t="s">
        <v>13</v>
      </c>
      <c r="C19" s="82" t="s">
        <v>35</v>
      </c>
    </row>
    <row r="20" spans="1:3" x14ac:dyDescent="0.3">
      <c r="A20" s="82" t="s">
        <v>34</v>
      </c>
      <c r="B20" s="82" t="s">
        <v>36</v>
      </c>
      <c r="C20" s="82" t="s">
        <v>37</v>
      </c>
    </row>
    <row r="21" spans="1:3" x14ac:dyDescent="0.3">
      <c r="A21" s="82" t="s">
        <v>34</v>
      </c>
      <c r="B21" s="82" t="s">
        <v>38</v>
      </c>
      <c r="C21" s="82" t="s">
        <v>39</v>
      </c>
    </row>
    <row r="22" spans="1:3" x14ac:dyDescent="0.3">
      <c r="A22" s="82" t="s">
        <v>40</v>
      </c>
      <c r="B22" s="82" t="s">
        <v>18</v>
      </c>
      <c r="C22" s="82" t="s">
        <v>41</v>
      </c>
    </row>
    <row r="23" spans="1:3" x14ac:dyDescent="0.3">
      <c r="A23" s="82" t="s">
        <v>42</v>
      </c>
      <c r="B23" s="82" t="s">
        <v>18</v>
      </c>
      <c r="C23" s="82" t="s">
        <v>43</v>
      </c>
    </row>
    <row r="24" spans="1:3" x14ac:dyDescent="0.3">
      <c r="A24" s="82" t="s">
        <v>44</v>
      </c>
      <c r="B24" s="82" t="s">
        <v>18</v>
      </c>
      <c r="C24" s="82" t="s">
        <v>45</v>
      </c>
    </row>
    <row r="25" spans="1:3" x14ac:dyDescent="0.3">
      <c r="A25" s="82" t="s">
        <v>44</v>
      </c>
      <c r="B25" s="82" t="s">
        <v>46</v>
      </c>
      <c r="C25" s="82" t="s">
        <v>47</v>
      </c>
    </row>
    <row r="26" spans="1:3" x14ac:dyDescent="0.3">
      <c r="A26" s="82" t="s">
        <v>44</v>
      </c>
      <c r="B26" s="82" t="s">
        <v>48</v>
      </c>
      <c r="C26" s="82" t="s">
        <v>49</v>
      </c>
    </row>
    <row r="27" spans="1:3" x14ac:dyDescent="0.3">
      <c r="A27" s="82" t="s">
        <v>44</v>
      </c>
      <c r="B27" s="82" t="s">
        <v>38</v>
      </c>
      <c r="C27" s="82" t="s">
        <v>50</v>
      </c>
    </row>
    <row r="28" spans="1:3" x14ac:dyDescent="0.3">
      <c r="A28" s="86" t="s">
        <v>51</v>
      </c>
      <c r="B28" s="82" t="s">
        <v>52</v>
      </c>
      <c r="C28" s="82" t="s">
        <v>53</v>
      </c>
    </row>
    <row r="29" spans="1:3" x14ac:dyDescent="0.3">
      <c r="A29" s="86" t="s">
        <v>51</v>
      </c>
      <c r="B29" s="82" t="s">
        <v>24</v>
      </c>
      <c r="C29" s="82" t="s">
        <v>54</v>
      </c>
    </row>
    <row r="30" spans="1:3" x14ac:dyDescent="0.3">
      <c r="A30" s="86" t="s">
        <v>51</v>
      </c>
      <c r="B30" s="82" t="s">
        <v>24</v>
      </c>
      <c r="C30" s="82" t="s">
        <v>55</v>
      </c>
    </row>
    <row r="31" spans="1:3" x14ac:dyDescent="0.3">
      <c r="A31" s="86" t="s">
        <v>51</v>
      </c>
      <c r="B31" s="82" t="s">
        <v>24</v>
      </c>
      <c r="C31" s="82" t="s">
        <v>56</v>
      </c>
    </row>
    <row r="32" spans="1:3" x14ac:dyDescent="0.3">
      <c r="A32" s="86" t="s">
        <v>57</v>
      </c>
      <c r="B32" s="82" t="s">
        <v>6</v>
      </c>
      <c r="C32" s="82" t="s">
        <v>58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D178"/>
  <sheetViews>
    <sheetView topLeftCell="A22" zoomScale="110" zoomScaleNormal="110" workbookViewId="0">
      <selection activeCell="A3" sqref="A3"/>
    </sheetView>
  </sheetViews>
  <sheetFormatPr defaultRowHeight="12.5" x14ac:dyDescent="0.25"/>
  <cols>
    <col min="1" max="1" width="33.453125" customWidth="1"/>
    <col min="2" max="2" width="24.453125" customWidth="1"/>
    <col min="4" max="4" width="29" bestFit="1" customWidth="1"/>
    <col min="5" max="5" width="23.1796875" bestFit="1" customWidth="1"/>
  </cols>
  <sheetData>
    <row r="1" spans="1:4" ht="13" x14ac:dyDescent="0.3">
      <c r="A1" s="256" t="s">
        <v>59</v>
      </c>
    </row>
    <row r="2" spans="1:4" x14ac:dyDescent="0.25">
      <c r="A2" s="85" t="s">
        <v>57</v>
      </c>
      <c r="B2" t="s">
        <v>60</v>
      </c>
    </row>
    <row r="4" spans="1:4" ht="13" x14ac:dyDescent="0.3">
      <c r="A4" s="256" t="s">
        <v>61</v>
      </c>
    </row>
    <row r="5" spans="1:4" x14ac:dyDescent="0.25">
      <c r="A5" s="47"/>
    </row>
    <row r="7" spans="1:4" ht="13" x14ac:dyDescent="0.3">
      <c r="A7" s="256" t="s">
        <v>62</v>
      </c>
      <c r="D7" s="256" t="s">
        <v>63</v>
      </c>
    </row>
    <row r="8" spans="1:4" x14ac:dyDescent="0.25">
      <c r="A8" s="47" t="s">
        <v>64</v>
      </c>
      <c r="D8" s="48" t="s">
        <v>65</v>
      </c>
    </row>
    <row r="9" spans="1:4" x14ac:dyDescent="0.25">
      <c r="A9" s="47" t="s">
        <v>66</v>
      </c>
      <c r="D9" s="48" t="s">
        <v>67</v>
      </c>
    </row>
    <row r="10" spans="1:4" x14ac:dyDescent="0.25">
      <c r="A10" s="47" t="s">
        <v>68</v>
      </c>
    </row>
    <row r="11" spans="1:4" x14ac:dyDescent="0.25">
      <c r="A11" s="47" t="s">
        <v>69</v>
      </c>
    </row>
    <row r="12" spans="1:4" ht="13" x14ac:dyDescent="0.3">
      <c r="A12" s="47" t="s">
        <v>70</v>
      </c>
      <c r="D12" s="256" t="s">
        <v>71</v>
      </c>
    </row>
    <row r="14" spans="1:4" ht="13" x14ac:dyDescent="0.3">
      <c r="A14" s="64" t="s">
        <v>72</v>
      </c>
      <c r="C14" s="75" t="e">
        <f>CONCATENATE("Offeror.Bus.Type is ",Offeror.Bus.Type)</f>
        <v>#REF!</v>
      </c>
    </row>
    <row r="15" spans="1:4" ht="14.5" x14ac:dyDescent="0.35">
      <c r="A15" s="67" t="e">
        <f>IF(Offeror.Bus.Type = "", "",IF(Offeror.Bus.Type = "Academia","Academia","General"))</f>
        <v>#REF!</v>
      </c>
      <c r="B15" s="48" t="s">
        <v>73</v>
      </c>
      <c r="D15" s="71" t="s">
        <v>74</v>
      </c>
    </row>
    <row r="16" spans="1:4" ht="13" x14ac:dyDescent="0.3">
      <c r="A16" s="64"/>
      <c r="B16" s="48"/>
    </row>
    <row r="17" spans="1:4" ht="13" x14ac:dyDescent="0.3">
      <c r="A17" s="64" t="s">
        <v>75</v>
      </c>
      <c r="B17" s="48" t="s">
        <v>76</v>
      </c>
    </row>
    <row r="18" spans="1:4" x14ac:dyDescent="0.25">
      <c r="A18" s="65" t="s">
        <v>77</v>
      </c>
      <c r="B18" s="48" t="s">
        <v>78</v>
      </c>
    </row>
    <row r="19" spans="1:4" ht="13" x14ac:dyDescent="0.3">
      <c r="A19" s="64"/>
      <c r="B19" s="48"/>
    </row>
    <row r="20" spans="1:4" ht="14.5" x14ac:dyDescent="0.35">
      <c r="A20" s="70" t="s">
        <v>79</v>
      </c>
      <c r="B20" s="48"/>
      <c r="D20" s="71" t="s">
        <v>80</v>
      </c>
    </row>
    <row r="21" spans="1:4" x14ac:dyDescent="0.25">
      <c r="A21" s="65" t="s">
        <v>81</v>
      </c>
      <c r="B21" s="48"/>
    </row>
    <row r="22" spans="1:4" x14ac:dyDescent="0.25">
      <c r="A22" s="65" t="s">
        <v>82</v>
      </c>
      <c r="B22" s="48"/>
    </row>
    <row r="23" spans="1:4" x14ac:dyDescent="0.25">
      <c r="A23" s="65" t="s">
        <v>83</v>
      </c>
      <c r="B23" s="48"/>
    </row>
    <row r="24" spans="1:4" x14ac:dyDescent="0.25">
      <c r="A24" s="65" t="s">
        <v>84</v>
      </c>
      <c r="B24" s="48"/>
    </row>
    <row r="25" spans="1:4" x14ac:dyDescent="0.25">
      <c r="A25" s="66"/>
      <c r="B25" s="48"/>
    </row>
    <row r="26" spans="1:4" ht="13" x14ac:dyDescent="0.3">
      <c r="A26" s="70" t="s">
        <v>85</v>
      </c>
      <c r="B26" s="48"/>
    </row>
    <row r="27" spans="1:4" x14ac:dyDescent="0.25">
      <c r="A27" s="65" t="s">
        <v>81</v>
      </c>
      <c r="B27" s="48"/>
    </row>
    <row r="28" spans="1:4" x14ac:dyDescent="0.25">
      <c r="A28" s="65" t="s">
        <v>86</v>
      </c>
      <c r="B28" s="48"/>
    </row>
    <row r="29" spans="1:4" x14ac:dyDescent="0.25">
      <c r="A29" s="65" t="s">
        <v>87</v>
      </c>
      <c r="B29" s="48"/>
    </row>
    <row r="30" spans="1:4" x14ac:dyDescent="0.25">
      <c r="A30" s="65" t="s">
        <v>88</v>
      </c>
      <c r="B30" s="48"/>
    </row>
    <row r="31" spans="1:4" x14ac:dyDescent="0.25">
      <c r="A31" s="65" t="s">
        <v>83</v>
      </c>
      <c r="B31" s="48"/>
    </row>
    <row r="32" spans="1:4" x14ac:dyDescent="0.25">
      <c r="A32" s="65" t="s">
        <v>89</v>
      </c>
      <c r="B32" s="48"/>
    </row>
    <row r="33" spans="1:2" x14ac:dyDescent="0.25">
      <c r="A33" s="66"/>
      <c r="B33" s="48"/>
    </row>
    <row r="34" spans="1:2" ht="13" x14ac:dyDescent="0.3">
      <c r="A34" s="64" t="s">
        <v>90</v>
      </c>
      <c r="B34" s="48"/>
    </row>
    <row r="35" spans="1:2" x14ac:dyDescent="0.25">
      <c r="A35" s="65" t="s">
        <v>91</v>
      </c>
      <c r="B35" s="48"/>
    </row>
    <row r="36" spans="1:2" x14ac:dyDescent="0.25">
      <c r="A36" s="65" t="s">
        <v>92</v>
      </c>
      <c r="B36" s="48"/>
    </row>
    <row r="37" spans="1:2" x14ac:dyDescent="0.25">
      <c r="A37" s="65" t="s">
        <v>93</v>
      </c>
      <c r="B37" s="48"/>
    </row>
    <row r="38" spans="1:2" x14ac:dyDescent="0.25">
      <c r="A38" s="65" t="s">
        <v>94</v>
      </c>
      <c r="B38" s="48"/>
    </row>
    <row r="39" spans="1:2" x14ac:dyDescent="0.25">
      <c r="A39" s="66"/>
      <c r="B39" s="48"/>
    </row>
    <row r="40" spans="1:2" ht="13" x14ac:dyDescent="0.3">
      <c r="A40" s="64" t="s">
        <v>95</v>
      </c>
      <c r="B40" s="48"/>
    </row>
    <row r="41" spans="1:2" x14ac:dyDescent="0.25">
      <c r="A41" s="65" t="s">
        <v>96</v>
      </c>
      <c r="B41" s="48"/>
    </row>
    <row r="42" spans="1:2" x14ac:dyDescent="0.25">
      <c r="A42" s="65" t="s">
        <v>97</v>
      </c>
      <c r="B42" s="48"/>
    </row>
    <row r="43" spans="1:2" x14ac:dyDescent="0.25">
      <c r="A43" s="65" t="s">
        <v>98</v>
      </c>
      <c r="B43" s="48"/>
    </row>
    <row r="44" spans="1:2" x14ac:dyDescent="0.25">
      <c r="A44" s="65" t="s">
        <v>99</v>
      </c>
      <c r="B44" s="48"/>
    </row>
    <row r="45" spans="1:2" x14ac:dyDescent="0.25">
      <c r="A45" s="65" t="s">
        <v>100</v>
      </c>
      <c r="B45" s="48"/>
    </row>
    <row r="46" spans="1:2" x14ac:dyDescent="0.25">
      <c r="A46" s="65" t="s">
        <v>101</v>
      </c>
      <c r="B46" s="48"/>
    </row>
    <row r="47" spans="1:2" x14ac:dyDescent="0.25">
      <c r="A47" s="65" t="s">
        <v>102</v>
      </c>
      <c r="B47" s="48"/>
    </row>
    <row r="48" spans="1:2" x14ac:dyDescent="0.25">
      <c r="A48" s="65" t="s">
        <v>103</v>
      </c>
      <c r="B48" s="48"/>
    </row>
    <row r="49" spans="1:2" x14ac:dyDescent="0.25">
      <c r="A49" s="65" t="s">
        <v>104</v>
      </c>
      <c r="B49" s="48"/>
    </row>
    <row r="50" spans="1:2" x14ac:dyDescent="0.25">
      <c r="A50" s="65" t="s">
        <v>105</v>
      </c>
      <c r="B50" s="48"/>
    </row>
    <row r="51" spans="1:2" x14ac:dyDescent="0.25">
      <c r="A51" s="65" t="s">
        <v>106</v>
      </c>
      <c r="B51" s="48"/>
    </row>
    <row r="52" spans="1:2" x14ac:dyDescent="0.25">
      <c r="A52" s="65" t="s">
        <v>83</v>
      </c>
      <c r="B52" s="48"/>
    </row>
    <row r="53" spans="1:2" x14ac:dyDescent="0.25">
      <c r="A53" s="66"/>
      <c r="B53" s="48"/>
    </row>
    <row r="54" spans="1:2" ht="13" x14ac:dyDescent="0.3">
      <c r="A54" s="64" t="s">
        <v>107</v>
      </c>
      <c r="B54" s="48"/>
    </row>
    <row r="55" spans="1:2" x14ac:dyDescent="0.25">
      <c r="A55" s="65" t="s">
        <v>83</v>
      </c>
      <c r="B55" s="48"/>
    </row>
    <row r="56" spans="1:2" x14ac:dyDescent="0.25">
      <c r="A56" s="66"/>
      <c r="B56" s="48"/>
    </row>
    <row r="57" spans="1:2" ht="13" x14ac:dyDescent="0.3">
      <c r="A57" s="64" t="s">
        <v>108</v>
      </c>
      <c r="B57" s="48"/>
    </row>
    <row r="58" spans="1:2" x14ac:dyDescent="0.25">
      <c r="A58" s="65" t="s">
        <v>109</v>
      </c>
      <c r="B58" s="48"/>
    </row>
    <row r="59" spans="1:2" x14ac:dyDescent="0.25">
      <c r="A59" s="65" t="s">
        <v>110</v>
      </c>
    </row>
    <row r="60" spans="1:2" x14ac:dyDescent="0.25">
      <c r="A60" s="66"/>
      <c r="B60" s="48"/>
    </row>
    <row r="61" spans="1:2" ht="13" x14ac:dyDescent="0.3">
      <c r="A61" s="64" t="s">
        <v>111</v>
      </c>
      <c r="B61" s="48"/>
    </row>
    <row r="62" spans="1:2" x14ac:dyDescent="0.25">
      <c r="A62" s="65" t="s">
        <v>112</v>
      </c>
      <c r="B62" s="48"/>
    </row>
    <row r="63" spans="1:2" x14ac:dyDescent="0.25">
      <c r="A63" s="65" t="s">
        <v>113</v>
      </c>
      <c r="B63" s="48"/>
    </row>
    <row r="64" spans="1:2" x14ac:dyDescent="0.25">
      <c r="A64" s="65" t="s">
        <v>114</v>
      </c>
      <c r="B64" s="48"/>
    </row>
    <row r="65" spans="1:2" x14ac:dyDescent="0.25">
      <c r="A65" s="65" t="s">
        <v>115</v>
      </c>
      <c r="B65" s="48"/>
    </row>
    <row r="66" spans="1:2" x14ac:dyDescent="0.25">
      <c r="A66" s="66"/>
      <c r="B66" s="48"/>
    </row>
    <row r="67" spans="1:2" ht="13" x14ac:dyDescent="0.3">
      <c r="A67" s="64" t="s">
        <v>116</v>
      </c>
      <c r="B67" s="48"/>
    </row>
    <row r="68" spans="1:2" x14ac:dyDescent="0.25">
      <c r="A68" s="65" t="s">
        <v>117</v>
      </c>
      <c r="B68" s="48"/>
    </row>
    <row r="69" spans="1:2" x14ac:dyDescent="0.25">
      <c r="A69" s="65" t="s">
        <v>118</v>
      </c>
      <c r="B69" s="48"/>
    </row>
    <row r="70" spans="1:2" x14ac:dyDescent="0.25">
      <c r="A70" s="65" t="s">
        <v>119</v>
      </c>
      <c r="B70" s="48"/>
    </row>
    <row r="71" spans="1:2" x14ac:dyDescent="0.25">
      <c r="A71" s="65" t="s">
        <v>120</v>
      </c>
      <c r="B71" s="48"/>
    </row>
    <row r="72" spans="1:2" x14ac:dyDescent="0.25">
      <c r="A72" s="65" t="s">
        <v>121</v>
      </c>
      <c r="B72" s="48"/>
    </row>
    <row r="73" spans="1:2" x14ac:dyDescent="0.25">
      <c r="A73" s="65" t="s">
        <v>122</v>
      </c>
      <c r="B73" s="48"/>
    </row>
    <row r="74" spans="1:2" x14ac:dyDescent="0.25">
      <c r="A74" s="66"/>
      <c r="B74" s="48"/>
    </row>
    <row r="75" spans="1:2" ht="13" x14ac:dyDescent="0.3">
      <c r="A75" s="64" t="s">
        <v>123</v>
      </c>
      <c r="B75" s="48"/>
    </row>
    <row r="76" spans="1:2" x14ac:dyDescent="0.25">
      <c r="A76" s="65" t="s">
        <v>124</v>
      </c>
      <c r="B76" s="48"/>
    </row>
    <row r="77" spans="1:2" x14ac:dyDescent="0.25">
      <c r="A77" s="65" t="s">
        <v>125</v>
      </c>
      <c r="B77" s="48"/>
    </row>
    <row r="78" spans="1:2" x14ac:dyDescent="0.25">
      <c r="A78" s="65" t="s">
        <v>126</v>
      </c>
      <c r="B78" s="48"/>
    </row>
    <row r="79" spans="1:2" x14ac:dyDescent="0.25">
      <c r="A79" s="65" t="s">
        <v>127</v>
      </c>
      <c r="B79" s="48"/>
    </row>
    <row r="80" spans="1:2" x14ac:dyDescent="0.25">
      <c r="A80" s="65" t="s">
        <v>128</v>
      </c>
      <c r="B80" s="48"/>
    </row>
    <row r="81" spans="1:2" x14ac:dyDescent="0.25">
      <c r="A81" s="65" t="s">
        <v>129</v>
      </c>
      <c r="B81" s="48"/>
    </row>
    <row r="82" spans="1:2" x14ac:dyDescent="0.25">
      <c r="A82" s="66"/>
      <c r="B82" s="48"/>
    </row>
    <row r="83" spans="1:2" ht="13" x14ac:dyDescent="0.3">
      <c r="A83" s="64" t="s">
        <v>130</v>
      </c>
      <c r="B83" s="48"/>
    </row>
    <row r="84" spans="1:2" x14ac:dyDescent="0.25">
      <c r="A84" s="65" t="s">
        <v>131</v>
      </c>
      <c r="B84" s="48"/>
    </row>
    <row r="85" spans="1:2" x14ac:dyDescent="0.25">
      <c r="A85" s="65" t="s">
        <v>132</v>
      </c>
      <c r="B85" s="48"/>
    </row>
    <row r="86" spans="1:2" x14ac:dyDescent="0.25">
      <c r="A86" s="65" t="s">
        <v>133</v>
      </c>
      <c r="B86" s="48"/>
    </row>
    <row r="87" spans="1:2" x14ac:dyDescent="0.25">
      <c r="A87" s="65" t="s">
        <v>134</v>
      </c>
      <c r="B87" s="48"/>
    </row>
    <row r="88" spans="1:2" x14ac:dyDescent="0.25">
      <c r="A88" s="65" t="s">
        <v>135</v>
      </c>
      <c r="B88" s="48"/>
    </row>
    <row r="89" spans="1:2" x14ac:dyDescent="0.25">
      <c r="A89" s="65" t="s">
        <v>136</v>
      </c>
      <c r="B89" s="48"/>
    </row>
    <row r="90" spans="1:2" x14ac:dyDescent="0.25">
      <c r="A90" s="66"/>
      <c r="B90" s="48"/>
    </row>
    <row r="91" spans="1:2" ht="13" x14ac:dyDescent="0.3">
      <c r="A91" s="64" t="s">
        <v>137</v>
      </c>
      <c r="B91" s="48"/>
    </row>
    <row r="92" spans="1:2" x14ac:dyDescent="0.25">
      <c r="A92" s="65" t="s">
        <v>138</v>
      </c>
      <c r="B92" s="48"/>
    </row>
    <row r="93" spans="1:2" x14ac:dyDescent="0.25">
      <c r="A93" s="65" t="s">
        <v>139</v>
      </c>
      <c r="B93" s="48"/>
    </row>
    <row r="94" spans="1:2" x14ac:dyDescent="0.25">
      <c r="A94" s="65" t="s">
        <v>140</v>
      </c>
      <c r="B94" s="48"/>
    </row>
    <row r="95" spans="1:2" x14ac:dyDescent="0.25">
      <c r="A95" s="65" t="s">
        <v>141</v>
      </c>
      <c r="B95" s="48"/>
    </row>
    <row r="96" spans="1:2" x14ac:dyDescent="0.25">
      <c r="A96" s="65" t="s">
        <v>142</v>
      </c>
      <c r="B96" s="48"/>
    </row>
    <row r="97" spans="1:2" x14ac:dyDescent="0.25">
      <c r="A97" s="65" t="s">
        <v>143</v>
      </c>
      <c r="B97" s="48"/>
    </row>
    <row r="98" spans="1:2" x14ac:dyDescent="0.25">
      <c r="A98" s="65" t="s">
        <v>144</v>
      </c>
      <c r="B98" s="48"/>
    </row>
    <row r="99" spans="1:2" x14ac:dyDescent="0.25">
      <c r="A99" s="65" t="s">
        <v>145</v>
      </c>
      <c r="B99" s="48"/>
    </row>
    <row r="100" spans="1:2" x14ac:dyDescent="0.25">
      <c r="A100" s="65" t="s">
        <v>146</v>
      </c>
      <c r="B100" s="48"/>
    </row>
    <row r="101" spans="1:2" x14ac:dyDescent="0.25">
      <c r="A101" s="65" t="s">
        <v>147</v>
      </c>
      <c r="B101" s="48"/>
    </row>
    <row r="102" spans="1:2" x14ac:dyDescent="0.25">
      <c r="A102" s="65" t="s">
        <v>148</v>
      </c>
      <c r="B102" s="48"/>
    </row>
    <row r="103" spans="1:2" x14ac:dyDescent="0.25">
      <c r="A103" s="65" t="s">
        <v>149</v>
      </c>
      <c r="B103" s="48"/>
    </row>
    <row r="104" spans="1:2" x14ac:dyDescent="0.25">
      <c r="B104" s="48"/>
    </row>
    <row r="105" spans="1:2" x14ac:dyDescent="0.25">
      <c r="A105" s="66"/>
      <c r="B105" s="48"/>
    </row>
    <row r="106" spans="1:2" ht="13" x14ac:dyDescent="0.3">
      <c r="A106" s="64" t="s">
        <v>150</v>
      </c>
      <c r="B106" s="48"/>
    </row>
    <row r="107" spans="1:2" x14ac:dyDescent="0.25">
      <c r="A107" s="65" t="s">
        <v>83</v>
      </c>
      <c r="B107" s="48"/>
    </row>
    <row r="108" spans="1:2" x14ac:dyDescent="0.25">
      <c r="A108" s="66"/>
      <c r="B108" s="48"/>
    </row>
    <row r="110" spans="1:2" s="69" customFormat="1" ht="13" x14ac:dyDescent="0.3">
      <c r="A110" s="68"/>
    </row>
    <row r="111" spans="1:2" x14ac:dyDescent="0.25">
      <c r="A111" s="66"/>
    </row>
    <row r="112" spans="1:2" ht="13" x14ac:dyDescent="0.3">
      <c r="A112" s="64" t="s">
        <v>151</v>
      </c>
    </row>
    <row r="113" spans="1:1" x14ac:dyDescent="0.25">
      <c r="A113" s="65" t="s">
        <v>152</v>
      </c>
    </row>
    <row r="114" spans="1:1" x14ac:dyDescent="0.25">
      <c r="A114" s="65" t="s">
        <v>153</v>
      </c>
    </row>
    <row r="115" spans="1:1" x14ac:dyDescent="0.25">
      <c r="A115" s="65" t="s">
        <v>154</v>
      </c>
    </row>
    <row r="116" spans="1:1" x14ac:dyDescent="0.25">
      <c r="A116" s="65" t="s">
        <v>155</v>
      </c>
    </row>
    <row r="117" spans="1:1" x14ac:dyDescent="0.25">
      <c r="A117" s="65" t="s">
        <v>156</v>
      </c>
    </row>
    <row r="118" spans="1:1" x14ac:dyDescent="0.25">
      <c r="A118" s="65" t="s">
        <v>157</v>
      </c>
    </row>
    <row r="119" spans="1:1" x14ac:dyDescent="0.25">
      <c r="A119" s="47" t="s">
        <v>158</v>
      </c>
    </row>
    <row r="120" spans="1:1" x14ac:dyDescent="0.25">
      <c r="A120" s="47" t="s">
        <v>159</v>
      </c>
    </row>
    <row r="121" spans="1:1" x14ac:dyDescent="0.25">
      <c r="A121" s="47" t="s">
        <v>160</v>
      </c>
    </row>
    <row r="122" spans="1:1" x14ac:dyDescent="0.25">
      <c r="A122" s="47" t="s">
        <v>161</v>
      </c>
    </row>
    <row r="123" spans="1:1" x14ac:dyDescent="0.25">
      <c r="A123" s="47" t="s">
        <v>162</v>
      </c>
    </row>
    <row r="124" spans="1:1" x14ac:dyDescent="0.25">
      <c r="A124" s="65" t="s">
        <v>163</v>
      </c>
    </row>
    <row r="125" spans="1:1" x14ac:dyDescent="0.25">
      <c r="A125" s="65" t="s">
        <v>164</v>
      </c>
    </row>
    <row r="126" spans="1:1" x14ac:dyDescent="0.25">
      <c r="A126" s="65" t="s">
        <v>165</v>
      </c>
    </row>
    <row r="127" spans="1:1" x14ac:dyDescent="0.25">
      <c r="A127" s="65" t="s">
        <v>166</v>
      </c>
    </row>
    <row r="128" spans="1:1" x14ac:dyDescent="0.25">
      <c r="A128" s="65" t="s">
        <v>167</v>
      </c>
    </row>
    <row r="129" spans="1:1" x14ac:dyDescent="0.25">
      <c r="A129" s="65" t="s">
        <v>168</v>
      </c>
    </row>
    <row r="130" spans="1:1" x14ac:dyDescent="0.25">
      <c r="A130" s="66"/>
    </row>
    <row r="131" spans="1:1" x14ac:dyDescent="0.25">
      <c r="A131" s="66"/>
    </row>
    <row r="132" spans="1:1" ht="13" x14ac:dyDescent="0.3">
      <c r="A132" s="68"/>
    </row>
    <row r="133" spans="1:1" s="69" customFormat="1" x14ac:dyDescent="0.25">
      <c r="A133" s="95"/>
    </row>
    <row r="134" spans="1:1" ht="13" x14ac:dyDescent="0.3">
      <c r="A134" s="96" t="s">
        <v>169</v>
      </c>
    </row>
    <row r="135" spans="1:1" x14ac:dyDescent="0.25">
      <c r="A135" s="97" t="s">
        <v>170</v>
      </c>
    </row>
    <row r="136" spans="1:1" x14ac:dyDescent="0.25">
      <c r="A136" s="97" t="s">
        <v>171</v>
      </c>
    </row>
    <row r="137" spans="1:1" x14ac:dyDescent="0.25">
      <c r="A137" s="97" t="s">
        <v>172</v>
      </c>
    </row>
    <row r="138" spans="1:1" x14ac:dyDescent="0.25">
      <c r="A138" s="97" t="s">
        <v>173</v>
      </c>
    </row>
    <row r="139" spans="1:1" x14ac:dyDescent="0.25">
      <c r="A139" s="95"/>
    </row>
    <row r="140" spans="1:1" ht="13" x14ac:dyDescent="0.3">
      <c r="A140" s="98"/>
    </row>
    <row r="141" spans="1:1" s="69" customFormat="1" x14ac:dyDescent="0.25">
      <c r="A141" s="95"/>
    </row>
    <row r="142" spans="1:1" ht="13" x14ac:dyDescent="0.3">
      <c r="A142" s="96" t="s">
        <v>174</v>
      </c>
    </row>
    <row r="143" spans="1:1" x14ac:dyDescent="0.25">
      <c r="A143" s="97" t="s">
        <v>170</v>
      </c>
    </row>
    <row r="144" spans="1:1" x14ac:dyDescent="0.25">
      <c r="A144" s="97" t="s">
        <v>175</v>
      </c>
    </row>
    <row r="145" spans="1:1" x14ac:dyDescent="0.25">
      <c r="A145" s="97" t="s">
        <v>176</v>
      </c>
    </row>
    <row r="146" spans="1:1" x14ac:dyDescent="0.25">
      <c r="A146" s="97" t="s">
        <v>177</v>
      </c>
    </row>
    <row r="147" spans="1:1" x14ac:dyDescent="0.25">
      <c r="A147" s="87"/>
    </row>
    <row r="148" spans="1:1" x14ac:dyDescent="0.25">
      <c r="A148" s="66"/>
    </row>
    <row r="149" spans="1:1" x14ac:dyDescent="0.25">
      <c r="A149" s="66"/>
    </row>
    <row r="150" spans="1:1" x14ac:dyDescent="0.25">
      <c r="A150" s="66"/>
    </row>
    <row r="151" spans="1:1" x14ac:dyDescent="0.25">
      <c r="A151" s="66"/>
    </row>
    <row r="152" spans="1:1" x14ac:dyDescent="0.25">
      <c r="A152" s="66"/>
    </row>
    <row r="153" spans="1:1" x14ac:dyDescent="0.25">
      <c r="A153" s="66"/>
    </row>
    <row r="154" spans="1:1" x14ac:dyDescent="0.25">
      <c r="A154" s="66"/>
    </row>
    <row r="155" spans="1:1" x14ac:dyDescent="0.25">
      <c r="A155" s="66"/>
    </row>
    <row r="156" spans="1:1" x14ac:dyDescent="0.25">
      <c r="A156" s="66"/>
    </row>
    <row r="178" spans="1:1" x14ac:dyDescent="0.25">
      <c r="A178" s="48" t="s">
        <v>178</v>
      </c>
    </row>
  </sheetData>
  <sheetProtection algorithmName="SHA-512" hashValue="/bEeLotGHEgYc7zgNiibLeiNfM+TG9UQWpZC5kgkycpP123ocHaffUb9TOfda7LbY7ptsos6r1M1Apx7tNhUVA==" saltValue="lO1QGo5tcwRxF6e3ZXjDxA==" spinCount="100000" sheet="1" objects="1" scenarios="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B1:J23"/>
  <sheetViews>
    <sheetView workbookViewId="0">
      <selection activeCell="C2" sqref="C2"/>
    </sheetView>
  </sheetViews>
  <sheetFormatPr defaultRowHeight="12.5" x14ac:dyDescent="0.25"/>
  <cols>
    <col min="2" max="2" width="35.81640625" customWidth="1"/>
    <col min="3" max="10" width="14.54296875" customWidth="1"/>
  </cols>
  <sheetData>
    <row r="1" spans="2:10" x14ac:dyDescent="0.25">
      <c r="B1" t="s">
        <v>179</v>
      </c>
      <c r="C1" s="87" t="e">
        <f>Period1_Label</f>
        <v>#REF!</v>
      </c>
      <c r="D1" s="87" t="e">
        <f>Period2_Label</f>
        <v>#REF!</v>
      </c>
      <c r="E1" s="87" t="e">
        <f>Period3_Label</f>
        <v>#REF!</v>
      </c>
      <c r="F1" s="87" t="e">
        <f>Period4_Label</f>
        <v>#REF!</v>
      </c>
      <c r="G1" s="87" t="e">
        <f>Period5_Label</f>
        <v>#REF!</v>
      </c>
      <c r="H1" s="87" t="e">
        <f>Period6_Label</f>
        <v>#REF!</v>
      </c>
    </row>
    <row r="2" spans="2:10" x14ac:dyDescent="0.25">
      <c r="B2" t="s">
        <v>180</v>
      </c>
      <c r="C2" s="88" t="e">
        <f>#REF!+#REF!+#REF!+#REF!+#REF!+#REF!</f>
        <v>#REF!</v>
      </c>
      <c r="D2" s="88" t="e">
        <f>#REF!+#REF!+#REF!+#REF!+#REF!+#REF!</f>
        <v>#REF!</v>
      </c>
      <c r="E2" s="88" t="e">
        <f>#REF!+#REF!+#REF!+#REF!+#REF!+#REF!</f>
        <v>#REF!</v>
      </c>
      <c r="F2" s="88" t="e">
        <f>#REF!+#REF!+#REF!+#REF!+#REF!+#REF!</f>
        <v>#REF!</v>
      </c>
      <c r="G2" s="88" t="e">
        <f>#REF!+#REF!+#REF!+#REF!+#REF!+#REF!</f>
        <v>#REF!</v>
      </c>
      <c r="H2" s="88" t="e">
        <f>#REF!+#REF!+#REF!+#REF!+#REF!+#REF!</f>
        <v>#REF!</v>
      </c>
    </row>
    <row r="5" spans="2:10" ht="13" x14ac:dyDescent="0.3">
      <c r="D5" t="s">
        <v>15</v>
      </c>
      <c r="E5" t="s">
        <v>181</v>
      </c>
      <c r="F5" t="s">
        <v>182</v>
      </c>
      <c r="G5" t="s">
        <v>183</v>
      </c>
      <c r="H5" t="s">
        <v>184</v>
      </c>
      <c r="I5" t="s">
        <v>185</v>
      </c>
      <c r="J5" s="74" t="s">
        <v>186</v>
      </c>
    </row>
    <row r="6" spans="2:10" x14ac:dyDescent="0.25">
      <c r="B6" t="s">
        <v>187</v>
      </c>
      <c r="C6" t="s">
        <v>188</v>
      </c>
      <c r="D6" s="84">
        <f t="shared" ref="D6:I18" ca="1" si="0">INDIRECT(CONCATENATE($C6,".",D$5))</f>
        <v>0</v>
      </c>
      <c r="E6" s="84">
        <f t="shared" ca="1" si="0"/>
        <v>0</v>
      </c>
      <c r="F6" s="84" t="e">
        <f t="shared" ca="1" si="0"/>
        <v>#REF!</v>
      </c>
      <c r="G6" s="84" t="e">
        <f t="shared" ca="1" si="0"/>
        <v>#REF!</v>
      </c>
      <c r="H6" s="84" t="e">
        <f t="shared" ca="1" si="0"/>
        <v>#REF!</v>
      </c>
      <c r="I6" s="84" t="e">
        <f t="shared" ca="1" si="0"/>
        <v>#REF!</v>
      </c>
      <c r="J6" s="84" t="e">
        <f ca="1">SUM(D6:I6)</f>
        <v>#REF!</v>
      </c>
    </row>
    <row r="7" spans="2:10" x14ac:dyDescent="0.25">
      <c r="B7" t="s">
        <v>189</v>
      </c>
      <c r="C7" t="s">
        <v>190</v>
      </c>
      <c r="D7" s="73">
        <f t="shared" ca="1" si="0"/>
        <v>0</v>
      </c>
      <c r="E7" s="73">
        <f t="shared" ca="1" si="0"/>
        <v>0</v>
      </c>
      <c r="F7" s="73" t="e">
        <f t="shared" ca="1" si="0"/>
        <v>#REF!</v>
      </c>
      <c r="G7" s="73" t="e">
        <f t="shared" ca="1" si="0"/>
        <v>#REF!</v>
      </c>
      <c r="H7" s="73" t="e">
        <f t="shared" ca="1" si="0"/>
        <v>#REF!</v>
      </c>
      <c r="I7" s="73" t="e">
        <f t="shared" ca="1" si="0"/>
        <v>#REF!</v>
      </c>
      <c r="J7" s="73" t="e">
        <f ca="1">SUM(D7:I7)</f>
        <v>#REF!</v>
      </c>
    </row>
    <row r="8" spans="2:10" x14ac:dyDescent="0.25">
      <c r="B8" t="s">
        <v>191</v>
      </c>
      <c r="C8" t="s">
        <v>192</v>
      </c>
      <c r="D8" s="73" t="e">
        <f t="shared" ca="1" si="0"/>
        <v>#REF!</v>
      </c>
      <c r="E8" s="73" t="e">
        <f t="shared" ca="1" si="0"/>
        <v>#REF!</v>
      </c>
      <c r="F8" s="73" t="e">
        <f t="shared" ca="1" si="0"/>
        <v>#REF!</v>
      </c>
      <c r="G8" s="73" t="e">
        <f t="shared" ca="1" si="0"/>
        <v>#REF!</v>
      </c>
      <c r="H8" s="73" t="e">
        <f t="shared" ca="1" si="0"/>
        <v>#REF!</v>
      </c>
      <c r="I8" s="73" t="e">
        <f t="shared" ca="1" si="0"/>
        <v>#REF!</v>
      </c>
      <c r="J8" s="73" t="e">
        <f t="shared" ref="J8:J17" ca="1" si="1">SUM(D8:I8)</f>
        <v>#REF!</v>
      </c>
    </row>
    <row r="9" spans="2:10" x14ac:dyDescent="0.25">
      <c r="B9" t="s">
        <v>193</v>
      </c>
      <c r="C9" t="s">
        <v>194</v>
      </c>
      <c r="D9" s="73" t="e">
        <f t="shared" ca="1" si="0"/>
        <v>#REF!</v>
      </c>
      <c r="E9" s="73" t="e">
        <f t="shared" ca="1" si="0"/>
        <v>#REF!</v>
      </c>
      <c r="F9" s="73" t="e">
        <f t="shared" ca="1" si="0"/>
        <v>#REF!</v>
      </c>
      <c r="G9" s="73" t="e">
        <f t="shared" ca="1" si="0"/>
        <v>#REF!</v>
      </c>
      <c r="H9" s="73" t="e">
        <f t="shared" ca="1" si="0"/>
        <v>#REF!</v>
      </c>
      <c r="I9" s="73" t="e">
        <f t="shared" ca="1" si="0"/>
        <v>#REF!</v>
      </c>
      <c r="J9" s="73" t="e">
        <f t="shared" ca="1" si="1"/>
        <v>#REF!</v>
      </c>
    </row>
    <row r="10" spans="2:10" x14ac:dyDescent="0.25">
      <c r="B10" t="s">
        <v>195</v>
      </c>
      <c r="C10" t="s">
        <v>196</v>
      </c>
      <c r="D10" s="73">
        <f t="shared" ca="1" si="0"/>
        <v>0</v>
      </c>
      <c r="E10" s="73">
        <f t="shared" ca="1" si="0"/>
        <v>0</v>
      </c>
      <c r="F10" s="73" t="e">
        <f t="shared" ca="1" si="0"/>
        <v>#REF!</v>
      </c>
      <c r="G10" s="73" t="e">
        <f t="shared" ca="1" si="0"/>
        <v>#REF!</v>
      </c>
      <c r="H10" s="73" t="e">
        <f t="shared" ca="1" si="0"/>
        <v>#REF!</v>
      </c>
      <c r="I10" s="73" t="e">
        <f t="shared" ca="1" si="0"/>
        <v>#REF!</v>
      </c>
      <c r="J10" s="73" t="e">
        <f t="shared" ca="1" si="1"/>
        <v>#REF!</v>
      </c>
    </row>
    <row r="11" spans="2:10" x14ac:dyDescent="0.25">
      <c r="B11" t="s">
        <v>197</v>
      </c>
      <c r="C11" t="s">
        <v>198</v>
      </c>
      <c r="D11" s="73">
        <f t="shared" ca="1" si="0"/>
        <v>0</v>
      </c>
      <c r="E11" s="73">
        <f t="shared" ca="1" si="0"/>
        <v>0</v>
      </c>
      <c r="F11" s="73" t="e">
        <f t="shared" ca="1" si="0"/>
        <v>#REF!</v>
      </c>
      <c r="G11" s="73" t="e">
        <f t="shared" ca="1" si="0"/>
        <v>#REF!</v>
      </c>
      <c r="H11" s="73" t="e">
        <f t="shared" ca="1" si="0"/>
        <v>#REF!</v>
      </c>
      <c r="I11" s="73" t="e">
        <f t="shared" ca="1" si="0"/>
        <v>#REF!</v>
      </c>
      <c r="J11" s="73" t="e">
        <f t="shared" ca="1" si="1"/>
        <v>#REF!</v>
      </c>
    </row>
    <row r="12" spans="2:10" x14ac:dyDescent="0.25">
      <c r="B12" t="s">
        <v>199</v>
      </c>
      <c r="C12" t="s">
        <v>200</v>
      </c>
      <c r="D12" s="73">
        <f t="shared" ca="1" si="0"/>
        <v>0</v>
      </c>
      <c r="E12" s="73">
        <f t="shared" ca="1" si="0"/>
        <v>0</v>
      </c>
      <c r="F12" s="73" t="e">
        <f t="shared" ca="1" si="0"/>
        <v>#REF!</v>
      </c>
      <c r="G12" s="73" t="e">
        <f t="shared" ca="1" si="0"/>
        <v>#REF!</v>
      </c>
      <c r="H12" s="73" t="e">
        <f t="shared" ca="1" si="0"/>
        <v>#REF!</v>
      </c>
      <c r="I12" s="73" t="e">
        <f t="shared" ca="1" si="0"/>
        <v>#REF!</v>
      </c>
      <c r="J12" s="73" t="e">
        <f t="shared" ca="1" si="1"/>
        <v>#REF!</v>
      </c>
    </row>
    <row r="13" spans="2:10" x14ac:dyDescent="0.25">
      <c r="B13" t="s">
        <v>201</v>
      </c>
      <c r="C13" t="s">
        <v>202</v>
      </c>
      <c r="D13" s="73">
        <f t="shared" ca="1" si="0"/>
        <v>0</v>
      </c>
      <c r="E13" s="73">
        <f t="shared" ca="1" si="0"/>
        <v>0</v>
      </c>
      <c r="F13" s="73" t="e">
        <f t="shared" ca="1" si="0"/>
        <v>#REF!</v>
      </c>
      <c r="G13" s="73" t="e">
        <f t="shared" ca="1" si="0"/>
        <v>#REF!</v>
      </c>
      <c r="H13" s="73" t="e">
        <f t="shared" ca="1" si="0"/>
        <v>#REF!</v>
      </c>
      <c r="I13" s="73" t="e">
        <f t="shared" ca="1" si="0"/>
        <v>#REF!</v>
      </c>
      <c r="J13" s="73" t="e">
        <f t="shared" ca="1" si="1"/>
        <v>#REF!</v>
      </c>
    </row>
    <row r="14" spans="2:10" x14ac:dyDescent="0.25">
      <c r="B14" t="s">
        <v>203</v>
      </c>
      <c r="C14" t="s">
        <v>204</v>
      </c>
      <c r="D14" s="73">
        <f t="shared" ca="1" si="0"/>
        <v>0</v>
      </c>
      <c r="E14" s="73">
        <f t="shared" ca="1" si="0"/>
        <v>0</v>
      </c>
      <c r="F14" s="73" t="e">
        <f t="shared" ca="1" si="0"/>
        <v>#REF!</v>
      </c>
      <c r="G14" s="73" t="e">
        <f t="shared" ca="1" si="0"/>
        <v>#REF!</v>
      </c>
      <c r="H14" s="73" t="e">
        <f t="shared" ca="1" si="0"/>
        <v>#REF!</v>
      </c>
      <c r="I14" s="73" t="e">
        <f t="shared" ca="1" si="0"/>
        <v>#REF!</v>
      </c>
      <c r="J14" s="73" t="e">
        <f t="shared" ca="1" si="1"/>
        <v>#REF!</v>
      </c>
    </row>
    <row r="15" spans="2:10" x14ac:dyDescent="0.25">
      <c r="B15" t="s">
        <v>205</v>
      </c>
      <c r="C15" t="s">
        <v>206</v>
      </c>
      <c r="D15" s="73">
        <f t="shared" ca="1" si="0"/>
        <v>0</v>
      </c>
      <c r="E15" s="73">
        <f t="shared" ca="1" si="0"/>
        <v>0</v>
      </c>
      <c r="F15" s="73" t="e">
        <f t="shared" ca="1" si="0"/>
        <v>#REF!</v>
      </c>
      <c r="G15" s="73" t="e">
        <f t="shared" ca="1" si="0"/>
        <v>#REF!</v>
      </c>
      <c r="H15" s="73" t="e">
        <f t="shared" ca="1" si="0"/>
        <v>#REF!</v>
      </c>
      <c r="I15" s="73" t="e">
        <f t="shared" ca="1" si="0"/>
        <v>#REF!</v>
      </c>
      <c r="J15" s="73" t="e">
        <f t="shared" ca="1" si="1"/>
        <v>#REF!</v>
      </c>
    </row>
    <row r="16" spans="2:10" x14ac:dyDescent="0.25">
      <c r="B16" t="s">
        <v>207</v>
      </c>
      <c r="C16" t="s">
        <v>208</v>
      </c>
      <c r="D16" s="73">
        <f t="shared" ca="1" si="0"/>
        <v>0</v>
      </c>
      <c r="E16" s="73">
        <f t="shared" ca="1" si="0"/>
        <v>0</v>
      </c>
      <c r="F16" s="73" t="e">
        <f t="shared" ca="1" si="0"/>
        <v>#REF!</v>
      </c>
      <c r="G16" s="73" t="e">
        <f t="shared" ca="1" si="0"/>
        <v>#REF!</v>
      </c>
      <c r="H16" s="73" t="e">
        <f t="shared" ca="1" si="0"/>
        <v>#REF!</v>
      </c>
      <c r="I16" s="73" t="e">
        <f t="shared" ca="1" si="0"/>
        <v>#REF!</v>
      </c>
      <c r="J16" s="73" t="e">
        <f t="shared" ca="1" si="1"/>
        <v>#REF!</v>
      </c>
    </row>
    <row r="17" spans="2:10" x14ac:dyDescent="0.25">
      <c r="B17" t="s">
        <v>209</v>
      </c>
      <c r="C17" t="s">
        <v>210</v>
      </c>
      <c r="D17" s="73">
        <f t="shared" ca="1" si="0"/>
        <v>0</v>
      </c>
      <c r="E17" s="73">
        <f t="shared" ca="1" si="0"/>
        <v>0</v>
      </c>
      <c r="F17" s="73" t="e">
        <f t="shared" ca="1" si="0"/>
        <v>#REF!</v>
      </c>
      <c r="G17" s="73" t="e">
        <f t="shared" ca="1" si="0"/>
        <v>#REF!</v>
      </c>
      <c r="H17" s="73" t="e">
        <f t="shared" ca="1" si="0"/>
        <v>#REF!</v>
      </c>
      <c r="I17" s="73" t="e">
        <f t="shared" ca="1" si="0"/>
        <v>#REF!</v>
      </c>
      <c r="J17" s="73" t="e">
        <f t="shared" ca="1" si="1"/>
        <v>#REF!</v>
      </c>
    </row>
    <row r="18" spans="2:10" x14ac:dyDescent="0.25">
      <c r="B18" t="s">
        <v>211</v>
      </c>
      <c r="C18" t="s">
        <v>212</v>
      </c>
      <c r="D18" s="89">
        <f t="shared" ca="1" si="0"/>
        <v>0</v>
      </c>
      <c r="E18" s="89">
        <f t="shared" ca="1" si="0"/>
        <v>0</v>
      </c>
      <c r="F18" s="89" t="e">
        <f t="shared" ca="1" si="0"/>
        <v>#REF!</v>
      </c>
      <c r="G18" s="89" t="e">
        <f t="shared" ca="1" si="0"/>
        <v>#REF!</v>
      </c>
      <c r="H18" s="89" t="e">
        <f t="shared" ca="1" si="0"/>
        <v>#REF!</v>
      </c>
      <c r="I18" s="89" t="e">
        <f t="shared" ca="1" si="0"/>
        <v>#REF!</v>
      </c>
      <c r="J18" s="73"/>
    </row>
    <row r="19" spans="2:10" ht="13" x14ac:dyDescent="0.3">
      <c r="B19" s="74" t="s">
        <v>213</v>
      </c>
      <c r="D19" s="89" t="e">
        <f ca="1">SUM(D7:D13)+SUM(D15:D17)</f>
        <v>#REF!</v>
      </c>
      <c r="E19" s="89" t="e">
        <f t="shared" ref="E19:J19" ca="1" si="2">SUM(E7:E13)+SUM(E15:E17)</f>
        <v>#REF!</v>
      </c>
      <c r="F19" s="89" t="e">
        <f t="shared" ca="1" si="2"/>
        <v>#REF!</v>
      </c>
      <c r="G19" s="89" t="e">
        <f t="shared" ca="1" si="2"/>
        <v>#REF!</v>
      </c>
      <c r="H19" s="89" t="e">
        <f t="shared" ca="1" si="2"/>
        <v>#REF!</v>
      </c>
      <c r="I19" s="89" t="e">
        <f t="shared" ca="1" si="2"/>
        <v>#REF!</v>
      </c>
      <c r="J19" s="90" t="e">
        <f t="shared" ca="1" si="2"/>
        <v>#REF!</v>
      </c>
    </row>
    <row r="21" spans="2:10" x14ac:dyDescent="0.25">
      <c r="E21" s="91" t="s">
        <v>214</v>
      </c>
      <c r="F21" s="89" t="e">
        <f ca="1">SUM(D19:I19)</f>
        <v>#REF!</v>
      </c>
    </row>
    <row r="22" spans="2:10" x14ac:dyDescent="0.25">
      <c r="E22" s="91" t="s">
        <v>215</v>
      </c>
      <c r="F22" s="90" t="e">
        <f ca="1">J19</f>
        <v>#REF!</v>
      </c>
    </row>
    <row r="23" spans="2:10" ht="13" x14ac:dyDescent="0.3">
      <c r="E23" s="94" t="s">
        <v>216</v>
      </c>
      <c r="F23" s="92" t="e">
        <f ca="1">F21-F22</f>
        <v>#REF!</v>
      </c>
      <c r="G23" s="93" t="s">
        <v>217</v>
      </c>
    </row>
  </sheetData>
  <sheetProtection algorithmName="SHA-512" hashValue="Yuh9PxEY24YXosoNrlC1FWZB7Q93kBhADr3YJ4dkddR5sWDAhZHZ+kK/oeqwRtIxasUKwgOIoHRrp8gtIITiFA==" saltValue="Iy6acpLeBFv7NntNIP+dIA=="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theme="0" tint="-0.499984740745262"/>
    <pageSetUpPr fitToPage="1"/>
  </sheetPr>
  <dimension ref="A1:J72"/>
  <sheetViews>
    <sheetView topLeftCell="A4" zoomScaleNormal="100" workbookViewId="0">
      <selection activeCell="A41" sqref="A41"/>
    </sheetView>
  </sheetViews>
  <sheetFormatPr defaultColWidth="8.81640625" defaultRowHeight="12.5" x14ac:dyDescent="0.25"/>
  <cols>
    <col min="1" max="1" width="42.453125" customWidth="1"/>
    <col min="2" max="2" width="30.1796875" bestFit="1" customWidth="1"/>
    <col min="3" max="3" width="11.81640625" customWidth="1"/>
    <col min="4" max="4" width="14.453125" bestFit="1" customWidth="1"/>
    <col min="5" max="9" width="12.81640625" customWidth="1"/>
    <col min="10" max="10" width="13.81640625" customWidth="1"/>
  </cols>
  <sheetData>
    <row r="1" spans="1:10" ht="149.25" customHeight="1" x14ac:dyDescent="0.25">
      <c r="A1" s="265" t="s">
        <v>218</v>
      </c>
      <c r="B1" s="266"/>
      <c r="C1" s="266"/>
      <c r="D1" s="266"/>
      <c r="E1" s="266"/>
      <c r="F1" s="266"/>
      <c r="G1" s="266"/>
      <c r="H1" s="266"/>
      <c r="I1" s="266"/>
      <c r="J1" s="266"/>
    </row>
    <row r="2" spans="1:10" ht="15" customHeight="1" x14ac:dyDescent="0.3">
      <c r="A2" s="256" t="s">
        <v>219</v>
      </c>
    </row>
    <row r="3" spans="1:10" ht="16.5" customHeight="1" x14ac:dyDescent="0.3">
      <c r="A3" s="256" t="s">
        <v>220</v>
      </c>
    </row>
    <row r="4" spans="1:10" ht="27.75" customHeight="1" x14ac:dyDescent="0.3">
      <c r="A4" s="263" t="s">
        <v>221</v>
      </c>
      <c r="B4" s="264"/>
      <c r="C4" s="264"/>
      <c r="D4" s="264"/>
      <c r="E4" s="264"/>
      <c r="F4" s="264"/>
      <c r="G4" s="264"/>
      <c r="H4" s="264"/>
    </row>
    <row r="5" spans="1:10" ht="17.25" customHeight="1" x14ac:dyDescent="0.3">
      <c r="A5" s="26" t="s">
        <v>222</v>
      </c>
    </row>
    <row r="6" spans="1:10" ht="17.25" customHeight="1" thickBot="1" x14ac:dyDescent="0.35">
      <c r="A6" s="26"/>
    </row>
    <row r="7" spans="1:10" s="38" customFormat="1" ht="13" x14ac:dyDescent="0.3">
      <c r="A7" s="109" t="s">
        <v>223</v>
      </c>
      <c r="B7" s="110"/>
      <c r="C7" s="110"/>
      <c r="D7" s="110"/>
      <c r="E7" s="110"/>
      <c r="F7" s="110"/>
      <c r="G7" s="110"/>
      <c r="H7" s="110"/>
      <c r="I7" s="110"/>
      <c r="J7" s="111"/>
    </row>
    <row r="8" spans="1:10" s="38" customFormat="1" ht="13" x14ac:dyDescent="0.3">
      <c r="A8" s="112" t="s">
        <v>224</v>
      </c>
      <c r="B8" s="72" t="s">
        <v>225</v>
      </c>
      <c r="C8" s="25"/>
      <c r="D8" s="25"/>
      <c r="E8" s="25"/>
      <c r="F8" s="25"/>
      <c r="G8" s="25"/>
      <c r="H8" s="25"/>
      <c r="I8" s="25"/>
      <c r="J8" s="113"/>
    </row>
    <row r="9" spans="1:10" s="38" customFormat="1" ht="13" x14ac:dyDescent="0.3">
      <c r="A9" s="112" t="s">
        <v>226</v>
      </c>
      <c r="B9" s="72" t="s">
        <v>227</v>
      </c>
      <c r="C9" s="25"/>
      <c r="D9" s="25"/>
      <c r="E9" s="25"/>
      <c r="F9" s="25"/>
      <c r="G9" s="25"/>
      <c r="H9" s="25"/>
      <c r="I9" s="25"/>
      <c r="J9" s="113"/>
    </row>
    <row r="10" spans="1:10" ht="13" thickBot="1" x14ac:dyDescent="0.3">
      <c r="A10" s="129"/>
      <c r="B10" s="129"/>
      <c r="C10" s="136"/>
      <c r="D10" s="137" t="s">
        <v>228</v>
      </c>
      <c r="E10" s="136"/>
      <c r="F10" s="136"/>
      <c r="G10" s="137" t="s">
        <v>228</v>
      </c>
      <c r="H10" s="136"/>
      <c r="I10" s="138"/>
      <c r="J10" s="139"/>
    </row>
    <row r="11" spans="1:10" x14ac:dyDescent="0.25">
      <c r="A11" s="1"/>
      <c r="B11" s="4"/>
      <c r="C11" s="7"/>
      <c r="D11" s="8" t="s">
        <v>229</v>
      </c>
      <c r="E11" s="9"/>
      <c r="F11" s="7"/>
      <c r="G11" s="8" t="s">
        <v>230</v>
      </c>
      <c r="H11" s="9"/>
      <c r="I11" s="261" t="s">
        <v>231</v>
      </c>
      <c r="J11" s="262"/>
    </row>
    <row r="12" spans="1:10" x14ac:dyDescent="0.25">
      <c r="A12" s="10" t="s">
        <v>232</v>
      </c>
      <c r="B12" s="4"/>
      <c r="C12" s="144"/>
      <c r="D12" s="143" t="s">
        <v>233</v>
      </c>
      <c r="E12" s="145"/>
      <c r="F12" s="144"/>
      <c r="G12" s="143" t="s">
        <v>233</v>
      </c>
      <c r="H12" s="145"/>
      <c r="I12" s="16" t="s">
        <v>234</v>
      </c>
      <c r="J12" s="146" t="s">
        <v>235</v>
      </c>
    </row>
    <row r="13" spans="1:10" x14ac:dyDescent="0.25">
      <c r="A13" s="20" t="s">
        <v>236</v>
      </c>
      <c r="B13" s="11" t="s">
        <v>237</v>
      </c>
      <c r="C13" s="12" t="s">
        <v>238</v>
      </c>
      <c r="D13" s="2" t="s">
        <v>239</v>
      </c>
      <c r="E13" s="13" t="s">
        <v>240</v>
      </c>
      <c r="F13" s="12" t="s">
        <v>238</v>
      </c>
      <c r="G13" s="2" t="s">
        <v>239</v>
      </c>
      <c r="H13" s="13" t="s">
        <v>240</v>
      </c>
      <c r="I13" s="12" t="s">
        <v>238</v>
      </c>
      <c r="J13" s="13" t="s">
        <v>240</v>
      </c>
    </row>
    <row r="14" spans="1:10" x14ac:dyDescent="0.25">
      <c r="A14" s="140"/>
      <c r="B14" s="140"/>
      <c r="C14" s="141"/>
      <c r="D14" s="142"/>
      <c r="E14" s="100">
        <f>C14*D14</f>
        <v>0</v>
      </c>
      <c r="F14" s="141"/>
      <c r="G14" s="142"/>
      <c r="H14" s="100">
        <f>F14*G14</f>
        <v>0</v>
      </c>
      <c r="I14" s="15">
        <f>C14+F14</f>
        <v>0</v>
      </c>
      <c r="J14" s="100">
        <f>E14+H14</f>
        <v>0</v>
      </c>
    </row>
    <row r="15" spans="1:10" x14ac:dyDescent="0.25">
      <c r="A15" s="140"/>
      <c r="B15" s="140"/>
      <c r="C15" s="141"/>
      <c r="D15" s="142"/>
      <c r="E15" s="100">
        <f t="shared" ref="E15:E37" si="0">C15*D15</f>
        <v>0</v>
      </c>
      <c r="F15" s="141"/>
      <c r="G15" s="142"/>
      <c r="H15" s="100">
        <f t="shared" ref="H15:H37" si="1">F15*G15</f>
        <v>0</v>
      </c>
      <c r="I15" s="15">
        <f t="shared" ref="I15:I37" si="2">C15+F15</f>
        <v>0</v>
      </c>
      <c r="J15" s="100">
        <f t="shared" ref="J15:J37" si="3">E15+H15</f>
        <v>0</v>
      </c>
    </row>
    <row r="16" spans="1:10" x14ac:dyDescent="0.25">
      <c r="A16" s="140"/>
      <c r="B16" s="140"/>
      <c r="C16" s="141"/>
      <c r="D16" s="142"/>
      <c r="E16" s="100">
        <f t="shared" si="0"/>
        <v>0</v>
      </c>
      <c r="F16" s="141"/>
      <c r="G16" s="142"/>
      <c r="H16" s="100">
        <f t="shared" si="1"/>
        <v>0</v>
      </c>
      <c r="I16" s="15">
        <f t="shared" si="2"/>
        <v>0</v>
      </c>
      <c r="J16" s="100">
        <f t="shared" si="3"/>
        <v>0</v>
      </c>
    </row>
    <row r="17" spans="1:10" x14ac:dyDescent="0.25">
      <c r="A17" s="140"/>
      <c r="B17" s="140"/>
      <c r="C17" s="141"/>
      <c r="D17" s="142"/>
      <c r="E17" s="100">
        <f t="shared" si="0"/>
        <v>0</v>
      </c>
      <c r="F17" s="141"/>
      <c r="G17" s="142"/>
      <c r="H17" s="100">
        <f t="shared" si="1"/>
        <v>0</v>
      </c>
      <c r="I17" s="15">
        <f t="shared" si="2"/>
        <v>0</v>
      </c>
      <c r="J17" s="100">
        <f t="shared" si="3"/>
        <v>0</v>
      </c>
    </row>
    <row r="18" spans="1:10" x14ac:dyDescent="0.25">
      <c r="A18" s="140"/>
      <c r="B18" s="140"/>
      <c r="C18" s="141"/>
      <c r="D18" s="142"/>
      <c r="E18" s="100">
        <f t="shared" si="0"/>
        <v>0</v>
      </c>
      <c r="F18" s="141"/>
      <c r="G18" s="142"/>
      <c r="H18" s="100">
        <f t="shared" si="1"/>
        <v>0</v>
      </c>
      <c r="I18" s="15">
        <f t="shared" si="2"/>
        <v>0</v>
      </c>
      <c r="J18" s="100">
        <f t="shared" si="3"/>
        <v>0</v>
      </c>
    </row>
    <row r="19" spans="1:10" x14ac:dyDescent="0.25">
      <c r="A19" s="140"/>
      <c r="B19" s="140"/>
      <c r="C19" s="141"/>
      <c r="D19" s="142"/>
      <c r="E19" s="100">
        <f t="shared" si="0"/>
        <v>0</v>
      </c>
      <c r="F19" s="141"/>
      <c r="G19" s="142"/>
      <c r="H19" s="100">
        <f t="shared" si="1"/>
        <v>0</v>
      </c>
      <c r="I19" s="15">
        <f t="shared" si="2"/>
        <v>0</v>
      </c>
      <c r="J19" s="100">
        <f t="shared" si="3"/>
        <v>0</v>
      </c>
    </row>
    <row r="20" spans="1:10" x14ac:dyDescent="0.25">
      <c r="A20" s="140"/>
      <c r="B20" s="140"/>
      <c r="C20" s="141"/>
      <c r="D20" s="142"/>
      <c r="E20" s="100">
        <f t="shared" si="0"/>
        <v>0</v>
      </c>
      <c r="F20" s="141"/>
      <c r="G20" s="142"/>
      <c r="H20" s="100">
        <f t="shared" si="1"/>
        <v>0</v>
      </c>
      <c r="I20" s="15">
        <f t="shared" si="2"/>
        <v>0</v>
      </c>
      <c r="J20" s="100">
        <f t="shared" si="3"/>
        <v>0</v>
      </c>
    </row>
    <row r="21" spans="1:10" x14ac:dyDescent="0.25">
      <c r="A21" s="140"/>
      <c r="B21" s="140"/>
      <c r="C21" s="141"/>
      <c r="D21" s="142"/>
      <c r="E21" s="100">
        <f t="shared" si="0"/>
        <v>0</v>
      </c>
      <c r="F21" s="141"/>
      <c r="G21" s="142"/>
      <c r="H21" s="100">
        <f t="shared" si="1"/>
        <v>0</v>
      </c>
      <c r="I21" s="15">
        <f t="shared" si="2"/>
        <v>0</v>
      </c>
      <c r="J21" s="100">
        <f t="shared" si="3"/>
        <v>0</v>
      </c>
    </row>
    <row r="22" spans="1:10" x14ac:dyDescent="0.25">
      <c r="A22" s="140"/>
      <c r="B22" s="140"/>
      <c r="C22" s="141"/>
      <c r="D22" s="142"/>
      <c r="E22" s="100">
        <f t="shared" si="0"/>
        <v>0</v>
      </c>
      <c r="F22" s="141"/>
      <c r="G22" s="142"/>
      <c r="H22" s="100">
        <f t="shared" si="1"/>
        <v>0</v>
      </c>
      <c r="I22" s="15">
        <f t="shared" si="2"/>
        <v>0</v>
      </c>
      <c r="J22" s="100">
        <f t="shared" si="3"/>
        <v>0</v>
      </c>
    </row>
    <row r="23" spans="1:10" x14ac:dyDescent="0.25">
      <c r="A23" s="140"/>
      <c r="B23" s="140"/>
      <c r="C23" s="141"/>
      <c r="D23" s="142"/>
      <c r="E23" s="100">
        <f t="shared" si="0"/>
        <v>0</v>
      </c>
      <c r="F23" s="141"/>
      <c r="G23" s="142"/>
      <c r="H23" s="100">
        <f t="shared" si="1"/>
        <v>0</v>
      </c>
      <c r="I23" s="15">
        <f t="shared" si="2"/>
        <v>0</v>
      </c>
      <c r="J23" s="100">
        <f t="shared" si="3"/>
        <v>0</v>
      </c>
    </row>
    <row r="24" spans="1:10" x14ac:dyDescent="0.25">
      <c r="A24" s="140"/>
      <c r="B24" s="140"/>
      <c r="C24" s="141"/>
      <c r="D24" s="142"/>
      <c r="E24" s="100">
        <f t="shared" si="0"/>
        <v>0</v>
      </c>
      <c r="F24" s="141"/>
      <c r="G24" s="142"/>
      <c r="H24" s="100">
        <f t="shared" si="1"/>
        <v>0</v>
      </c>
      <c r="I24" s="15">
        <f t="shared" si="2"/>
        <v>0</v>
      </c>
      <c r="J24" s="100">
        <f t="shared" si="3"/>
        <v>0</v>
      </c>
    </row>
    <row r="25" spans="1:10" x14ac:dyDescent="0.25">
      <c r="A25" s="140"/>
      <c r="B25" s="140"/>
      <c r="C25" s="141"/>
      <c r="D25" s="142"/>
      <c r="E25" s="100">
        <f t="shared" si="0"/>
        <v>0</v>
      </c>
      <c r="F25" s="141"/>
      <c r="G25" s="142"/>
      <c r="H25" s="100">
        <f t="shared" si="1"/>
        <v>0</v>
      </c>
      <c r="I25" s="15">
        <f t="shared" si="2"/>
        <v>0</v>
      </c>
      <c r="J25" s="100">
        <f t="shared" si="3"/>
        <v>0</v>
      </c>
    </row>
    <row r="26" spans="1:10" x14ac:dyDescent="0.25">
      <c r="A26" s="140"/>
      <c r="B26" s="140"/>
      <c r="C26" s="141"/>
      <c r="D26" s="142"/>
      <c r="E26" s="100">
        <f t="shared" si="0"/>
        <v>0</v>
      </c>
      <c r="F26" s="141"/>
      <c r="G26" s="142"/>
      <c r="H26" s="100">
        <f t="shared" si="1"/>
        <v>0</v>
      </c>
      <c r="I26" s="15">
        <f t="shared" si="2"/>
        <v>0</v>
      </c>
      <c r="J26" s="100">
        <f t="shared" si="3"/>
        <v>0</v>
      </c>
    </row>
    <row r="27" spans="1:10" x14ac:dyDescent="0.25">
      <c r="A27" s="140"/>
      <c r="B27" s="140"/>
      <c r="C27" s="141"/>
      <c r="D27" s="142"/>
      <c r="E27" s="100">
        <f t="shared" si="0"/>
        <v>0</v>
      </c>
      <c r="F27" s="141"/>
      <c r="G27" s="142"/>
      <c r="H27" s="100">
        <f t="shared" si="1"/>
        <v>0</v>
      </c>
      <c r="I27" s="15">
        <f t="shared" si="2"/>
        <v>0</v>
      </c>
      <c r="J27" s="100">
        <f t="shared" si="3"/>
        <v>0</v>
      </c>
    </row>
    <row r="28" spans="1:10" x14ac:dyDescent="0.25">
      <c r="A28" s="140"/>
      <c r="B28" s="140"/>
      <c r="C28" s="141"/>
      <c r="D28" s="142"/>
      <c r="E28" s="100">
        <f t="shared" si="0"/>
        <v>0</v>
      </c>
      <c r="F28" s="141"/>
      <c r="G28" s="142"/>
      <c r="H28" s="100">
        <f t="shared" si="1"/>
        <v>0</v>
      </c>
      <c r="I28" s="15">
        <f t="shared" si="2"/>
        <v>0</v>
      </c>
      <c r="J28" s="100">
        <f t="shared" si="3"/>
        <v>0</v>
      </c>
    </row>
    <row r="29" spans="1:10" x14ac:dyDescent="0.25">
      <c r="A29" s="140"/>
      <c r="B29" s="140"/>
      <c r="C29" s="141"/>
      <c r="D29" s="142"/>
      <c r="E29" s="100">
        <f t="shared" si="0"/>
        <v>0</v>
      </c>
      <c r="F29" s="141"/>
      <c r="G29" s="142"/>
      <c r="H29" s="100">
        <f t="shared" si="1"/>
        <v>0</v>
      </c>
      <c r="I29" s="15">
        <f t="shared" si="2"/>
        <v>0</v>
      </c>
      <c r="J29" s="100">
        <f t="shared" si="3"/>
        <v>0</v>
      </c>
    </row>
    <row r="30" spans="1:10" x14ac:dyDescent="0.25">
      <c r="A30" s="140"/>
      <c r="B30" s="140"/>
      <c r="C30" s="141"/>
      <c r="D30" s="142"/>
      <c r="E30" s="100">
        <f t="shared" si="0"/>
        <v>0</v>
      </c>
      <c r="F30" s="141"/>
      <c r="G30" s="142"/>
      <c r="H30" s="100">
        <f t="shared" si="1"/>
        <v>0</v>
      </c>
      <c r="I30" s="15">
        <f t="shared" si="2"/>
        <v>0</v>
      </c>
      <c r="J30" s="100">
        <f t="shared" si="3"/>
        <v>0</v>
      </c>
    </row>
    <row r="31" spans="1:10" x14ac:dyDescent="0.25">
      <c r="A31" s="140"/>
      <c r="B31" s="140"/>
      <c r="C31" s="141"/>
      <c r="D31" s="142"/>
      <c r="E31" s="100">
        <f t="shared" si="0"/>
        <v>0</v>
      </c>
      <c r="F31" s="141"/>
      <c r="G31" s="142"/>
      <c r="H31" s="100">
        <f t="shared" si="1"/>
        <v>0</v>
      </c>
      <c r="I31" s="15">
        <f t="shared" si="2"/>
        <v>0</v>
      </c>
      <c r="J31" s="100">
        <f t="shared" si="3"/>
        <v>0</v>
      </c>
    </row>
    <row r="32" spans="1:10" x14ac:dyDescent="0.25">
      <c r="A32" s="140"/>
      <c r="B32" s="140"/>
      <c r="C32" s="141"/>
      <c r="D32" s="142"/>
      <c r="E32" s="100">
        <f t="shared" si="0"/>
        <v>0</v>
      </c>
      <c r="F32" s="141"/>
      <c r="G32" s="142"/>
      <c r="H32" s="100">
        <f t="shared" si="1"/>
        <v>0</v>
      </c>
      <c r="I32" s="15">
        <f t="shared" si="2"/>
        <v>0</v>
      </c>
      <c r="J32" s="100">
        <f t="shared" si="3"/>
        <v>0</v>
      </c>
    </row>
    <row r="33" spans="1:10" x14ac:dyDescent="0.25">
      <c r="A33" s="140"/>
      <c r="B33" s="140"/>
      <c r="C33" s="141"/>
      <c r="D33" s="142"/>
      <c r="E33" s="100">
        <f t="shared" si="0"/>
        <v>0</v>
      </c>
      <c r="F33" s="141"/>
      <c r="G33" s="142"/>
      <c r="H33" s="100">
        <f t="shared" si="1"/>
        <v>0</v>
      </c>
      <c r="I33" s="15">
        <f t="shared" si="2"/>
        <v>0</v>
      </c>
      <c r="J33" s="100">
        <f t="shared" si="3"/>
        <v>0</v>
      </c>
    </row>
    <row r="34" spans="1:10" x14ac:dyDescent="0.25">
      <c r="A34" s="140"/>
      <c r="B34" s="140"/>
      <c r="C34" s="141"/>
      <c r="D34" s="142"/>
      <c r="E34" s="100">
        <f t="shared" si="0"/>
        <v>0</v>
      </c>
      <c r="F34" s="141"/>
      <c r="G34" s="142"/>
      <c r="H34" s="100">
        <f t="shared" si="1"/>
        <v>0</v>
      </c>
      <c r="I34" s="15">
        <f t="shared" si="2"/>
        <v>0</v>
      </c>
      <c r="J34" s="100">
        <f t="shared" si="3"/>
        <v>0</v>
      </c>
    </row>
    <row r="35" spans="1:10" x14ac:dyDescent="0.25">
      <c r="A35" s="140"/>
      <c r="B35" s="140"/>
      <c r="C35" s="141"/>
      <c r="D35" s="142"/>
      <c r="E35" s="100">
        <f t="shared" si="0"/>
        <v>0</v>
      </c>
      <c r="F35" s="141"/>
      <c r="G35" s="142"/>
      <c r="H35" s="100">
        <f t="shared" si="1"/>
        <v>0</v>
      </c>
      <c r="I35" s="15">
        <f t="shared" si="2"/>
        <v>0</v>
      </c>
      <c r="J35" s="100">
        <f t="shared" si="3"/>
        <v>0</v>
      </c>
    </row>
    <row r="36" spans="1:10" x14ac:dyDescent="0.25">
      <c r="A36" s="140"/>
      <c r="B36" s="140"/>
      <c r="C36" s="141"/>
      <c r="D36" s="142"/>
      <c r="E36" s="100">
        <f t="shared" si="0"/>
        <v>0</v>
      </c>
      <c r="F36" s="141"/>
      <c r="G36" s="142"/>
      <c r="H36" s="100">
        <f t="shared" si="1"/>
        <v>0</v>
      </c>
      <c r="I36" s="15">
        <f t="shared" si="2"/>
        <v>0</v>
      </c>
      <c r="J36" s="100">
        <f t="shared" si="3"/>
        <v>0</v>
      </c>
    </row>
    <row r="37" spans="1:10" x14ac:dyDescent="0.25">
      <c r="A37" s="140"/>
      <c r="B37" s="140"/>
      <c r="C37" s="141"/>
      <c r="D37" s="142"/>
      <c r="E37" s="100">
        <f t="shared" si="0"/>
        <v>0</v>
      </c>
      <c r="F37" s="141"/>
      <c r="G37" s="142"/>
      <c r="H37" s="100">
        <f t="shared" si="1"/>
        <v>0</v>
      </c>
      <c r="I37" s="15">
        <f t="shared" si="2"/>
        <v>0</v>
      </c>
      <c r="J37" s="100">
        <f t="shared" si="3"/>
        <v>0</v>
      </c>
    </row>
    <row r="38" spans="1:10" x14ac:dyDescent="0.25">
      <c r="A38" s="114" t="s">
        <v>189</v>
      </c>
      <c r="B38" s="115"/>
      <c r="C38" s="116">
        <f>SUM(C14:C37)</f>
        <v>0</v>
      </c>
      <c r="D38" s="117"/>
      <c r="E38" s="118">
        <f>SUM(E14:E37)</f>
        <v>0</v>
      </c>
      <c r="F38" s="116">
        <f>SUM(F14:F37)</f>
        <v>0</v>
      </c>
      <c r="G38" s="117"/>
      <c r="H38" s="118">
        <f>SUM(H14:H37)</f>
        <v>0</v>
      </c>
      <c r="I38" s="119">
        <f>SUM(I14:I37)</f>
        <v>0</v>
      </c>
      <c r="J38" s="118">
        <f>E38+H38</f>
        <v>0</v>
      </c>
    </row>
    <row r="39" spans="1:10" hidden="1" x14ac:dyDescent="0.25">
      <c r="A39" s="120" t="e">
        <f>#REF!</f>
        <v>#REF!</v>
      </c>
      <c r="B39" s="121"/>
      <c r="C39" s="122"/>
      <c r="D39" s="123"/>
      <c r="E39" s="124" t="e">
        <f>#REF!</f>
        <v>#REF!</v>
      </c>
      <c r="F39" s="122"/>
      <c r="G39" s="123"/>
      <c r="H39" s="124" t="e">
        <f>#REF!</f>
        <v>#REF!</v>
      </c>
      <c r="I39" s="125"/>
      <c r="J39" s="124" t="e">
        <f>E39+H39+#REF!+#REF!+#REF!+#REF!</f>
        <v>#REF!</v>
      </c>
    </row>
    <row r="40" spans="1:10" x14ac:dyDescent="0.25">
      <c r="A40" s="10" t="s">
        <v>241</v>
      </c>
      <c r="B40" s="2"/>
      <c r="C40" s="5"/>
      <c r="D40" s="1"/>
      <c r="E40" s="76"/>
      <c r="F40" s="5"/>
      <c r="G40" s="1"/>
      <c r="H40" s="6"/>
      <c r="I40" s="17"/>
      <c r="J40" s="76"/>
    </row>
    <row r="41" spans="1:10" ht="13" x14ac:dyDescent="0.3">
      <c r="A41" s="104" t="s">
        <v>242</v>
      </c>
      <c r="B41" s="99"/>
      <c r="C41" s="5"/>
      <c r="D41" s="1"/>
      <c r="E41" s="105">
        <v>0</v>
      </c>
      <c r="F41" s="5"/>
      <c r="G41" s="1"/>
      <c r="H41" s="105">
        <v>0</v>
      </c>
      <c r="I41" s="17"/>
      <c r="J41" s="100">
        <f>SUM(E41,H41)</f>
        <v>0</v>
      </c>
    </row>
    <row r="42" spans="1:10" ht="13" x14ac:dyDescent="0.3">
      <c r="A42" s="104" t="s">
        <v>243</v>
      </c>
      <c r="B42" s="99"/>
      <c r="C42" s="5"/>
      <c r="D42" s="1"/>
      <c r="E42" s="105">
        <v>0</v>
      </c>
      <c r="F42" s="5"/>
      <c r="G42" s="1"/>
      <c r="H42" s="105">
        <v>0</v>
      </c>
      <c r="I42" s="17"/>
      <c r="J42" s="100">
        <f t="shared" ref="J42:J44" si="4">SUM(E42,H42)</f>
        <v>0</v>
      </c>
    </row>
    <row r="43" spans="1:10" ht="13" x14ac:dyDescent="0.3">
      <c r="A43" s="104" t="s">
        <v>244</v>
      </c>
      <c r="B43" s="99"/>
      <c r="C43" s="5"/>
      <c r="D43" s="1"/>
      <c r="E43" s="105">
        <v>0</v>
      </c>
      <c r="F43" s="5"/>
      <c r="G43" s="1"/>
      <c r="H43" s="105">
        <v>0</v>
      </c>
      <c r="I43" s="17"/>
      <c r="J43" s="100">
        <f t="shared" si="4"/>
        <v>0</v>
      </c>
    </row>
    <row r="44" spans="1:10" ht="23" x14ac:dyDescent="0.3">
      <c r="A44" s="104" t="s">
        <v>245</v>
      </c>
      <c r="B44" s="99"/>
      <c r="C44" s="5"/>
      <c r="D44" s="1"/>
      <c r="E44" s="105">
        <v>0</v>
      </c>
      <c r="F44" s="5"/>
      <c r="G44" s="1"/>
      <c r="H44" s="105">
        <v>0</v>
      </c>
      <c r="I44" s="17"/>
      <c r="J44" s="100">
        <f t="shared" si="4"/>
        <v>0</v>
      </c>
    </row>
    <row r="45" spans="1:10" x14ac:dyDescent="0.25">
      <c r="A45" s="117" t="s">
        <v>195</v>
      </c>
      <c r="B45" s="129"/>
      <c r="C45" s="127"/>
      <c r="D45" s="117"/>
      <c r="E45" s="118">
        <f>SUM(E41:E44)</f>
        <v>0</v>
      </c>
      <c r="F45" s="127"/>
      <c r="G45" s="117"/>
      <c r="H45" s="118">
        <f>SUM(H41:H44)</f>
        <v>0</v>
      </c>
      <c r="I45" s="128"/>
      <c r="J45" s="118">
        <f>E45+H45</f>
        <v>0</v>
      </c>
    </row>
    <row r="46" spans="1:10" x14ac:dyDescent="0.25">
      <c r="A46" s="5" t="s">
        <v>246</v>
      </c>
      <c r="B46" s="49"/>
      <c r="C46" s="80" t="s">
        <v>238</v>
      </c>
      <c r="D46" s="79" t="s">
        <v>239</v>
      </c>
      <c r="E46" s="76"/>
      <c r="F46" s="80" t="s">
        <v>238</v>
      </c>
      <c r="G46" s="79" t="s">
        <v>239</v>
      </c>
      <c r="H46" s="6"/>
      <c r="I46" s="17"/>
      <c r="J46" s="76"/>
    </row>
    <row r="47" spans="1:10" x14ac:dyDescent="0.25">
      <c r="A47" s="117" t="s">
        <v>197</v>
      </c>
      <c r="B47" s="121"/>
      <c r="C47" s="106"/>
      <c r="D47" s="107"/>
      <c r="E47" s="118">
        <f>C47*D47</f>
        <v>0</v>
      </c>
      <c r="F47" s="106"/>
      <c r="G47" s="107"/>
      <c r="H47" s="118">
        <f>F47*G47</f>
        <v>0</v>
      </c>
      <c r="I47" s="128"/>
      <c r="J47" s="118">
        <f>E47+H47</f>
        <v>0</v>
      </c>
    </row>
    <row r="48" spans="1:10" x14ac:dyDescent="0.25">
      <c r="A48" s="10" t="s">
        <v>247</v>
      </c>
      <c r="B48" s="51"/>
      <c r="C48" s="22"/>
      <c r="D48" s="21"/>
      <c r="E48" s="23"/>
      <c r="F48" s="22"/>
      <c r="G48" s="21"/>
      <c r="H48" s="23"/>
      <c r="I48" s="24"/>
      <c r="J48" s="77"/>
    </row>
    <row r="49" spans="1:10" ht="13" x14ac:dyDescent="0.3">
      <c r="A49" s="3" t="s">
        <v>248</v>
      </c>
      <c r="B49" s="101" t="s">
        <v>249</v>
      </c>
      <c r="C49" s="27"/>
      <c r="D49" s="25"/>
      <c r="E49" s="100">
        <f>SUM(Equipment!I4:I6)</f>
        <v>0</v>
      </c>
      <c r="F49" s="27"/>
      <c r="G49" s="25"/>
      <c r="H49" s="100">
        <f>SUM(Equipment!I8)</f>
        <v>0</v>
      </c>
      <c r="I49" s="28"/>
      <c r="J49" s="102">
        <f>E49+H49</f>
        <v>0</v>
      </c>
    </row>
    <row r="50" spans="1:10" ht="13" x14ac:dyDescent="0.3">
      <c r="A50" s="3" t="s">
        <v>48</v>
      </c>
      <c r="B50" s="101" t="s">
        <v>250</v>
      </c>
      <c r="C50" s="27"/>
      <c r="D50" s="25"/>
      <c r="E50" s="100">
        <f>Travel!AC9</f>
        <v>0</v>
      </c>
      <c r="F50" s="27"/>
      <c r="G50" s="25"/>
      <c r="H50" s="100">
        <f>Travel!AC14</f>
        <v>0</v>
      </c>
      <c r="I50" s="28"/>
      <c r="J50" s="102">
        <f>E50+H50</f>
        <v>0</v>
      </c>
    </row>
    <row r="51" spans="1:10" ht="13" x14ac:dyDescent="0.3">
      <c r="A51" s="3" t="s">
        <v>251</v>
      </c>
      <c r="B51" s="50"/>
      <c r="C51" s="27"/>
      <c r="D51" s="25"/>
      <c r="E51" s="105">
        <v>0</v>
      </c>
      <c r="F51" s="27"/>
      <c r="G51" s="25"/>
      <c r="H51" s="105">
        <v>0</v>
      </c>
      <c r="I51" s="28"/>
      <c r="J51" s="102">
        <f>E51+H51</f>
        <v>0</v>
      </c>
    </row>
    <row r="52" spans="1:10" x14ac:dyDescent="0.25">
      <c r="A52" s="117" t="s">
        <v>199</v>
      </c>
      <c r="B52" s="126"/>
      <c r="C52" s="127"/>
      <c r="D52" s="117"/>
      <c r="E52" s="118">
        <f>SUM(E49:E51)</f>
        <v>0</v>
      </c>
      <c r="F52" s="127"/>
      <c r="G52" s="117"/>
      <c r="H52" s="118">
        <f>SUM(H49:H51)</f>
        <v>0</v>
      </c>
      <c r="I52" s="128"/>
      <c r="J52" s="118">
        <f>E52+H52</f>
        <v>0</v>
      </c>
    </row>
    <row r="53" spans="1:10" x14ac:dyDescent="0.25">
      <c r="A53" s="5" t="s">
        <v>252</v>
      </c>
      <c r="B53" s="4"/>
      <c r="C53" s="80" t="s">
        <v>15</v>
      </c>
      <c r="D53" s="79" t="s">
        <v>239</v>
      </c>
      <c r="E53" s="76"/>
      <c r="F53" s="80" t="s">
        <v>15</v>
      </c>
      <c r="G53" s="79" t="s">
        <v>239</v>
      </c>
      <c r="H53" s="6"/>
      <c r="I53" s="17"/>
      <c r="J53" s="76"/>
    </row>
    <row r="54" spans="1:10" x14ac:dyDescent="0.25">
      <c r="A54" s="117" t="s">
        <v>201</v>
      </c>
      <c r="B54" s="126"/>
      <c r="C54" s="106"/>
      <c r="D54" s="107"/>
      <c r="E54" s="118">
        <f>C54*D54</f>
        <v>0</v>
      </c>
      <c r="F54" s="106"/>
      <c r="G54" s="107"/>
      <c r="H54" s="118">
        <f>F54*G54</f>
        <v>0</v>
      </c>
      <c r="I54" s="128"/>
      <c r="J54" s="118">
        <f>E54+H54</f>
        <v>0</v>
      </c>
    </row>
    <row r="55" spans="1:10" s="14" customFormat="1" ht="13" x14ac:dyDescent="0.3">
      <c r="A55" s="127" t="s">
        <v>203</v>
      </c>
      <c r="B55" s="126"/>
      <c r="C55" s="127"/>
      <c r="D55" s="117"/>
      <c r="E55" s="118">
        <f>E38+E45+E47+E52+E54</f>
        <v>0</v>
      </c>
      <c r="F55" s="127"/>
      <c r="G55" s="117"/>
      <c r="H55" s="118">
        <f>H38+H45+H47+H52+H54</f>
        <v>0</v>
      </c>
      <c r="I55" s="128"/>
      <c r="J55" s="118">
        <f>E55+H55</f>
        <v>0</v>
      </c>
    </row>
    <row r="56" spans="1:10" x14ac:dyDescent="0.25">
      <c r="A56" s="5" t="s">
        <v>253</v>
      </c>
      <c r="B56" s="4"/>
      <c r="C56" s="80" t="s">
        <v>15</v>
      </c>
      <c r="D56" s="79" t="s">
        <v>239</v>
      </c>
      <c r="E56" s="76"/>
      <c r="F56" s="80" t="s">
        <v>15</v>
      </c>
      <c r="G56" s="79" t="s">
        <v>239</v>
      </c>
      <c r="H56" s="6"/>
      <c r="I56" s="17"/>
      <c r="J56" s="76"/>
    </row>
    <row r="57" spans="1:10" x14ac:dyDescent="0.25">
      <c r="A57" s="117" t="s">
        <v>205</v>
      </c>
      <c r="B57" s="126"/>
      <c r="C57" s="106"/>
      <c r="D57" s="107"/>
      <c r="E57" s="118">
        <f>C57*D57</f>
        <v>0</v>
      </c>
      <c r="F57" s="106"/>
      <c r="G57" s="107"/>
      <c r="H57" s="118">
        <f>F57*G57</f>
        <v>0</v>
      </c>
      <c r="I57" s="128"/>
      <c r="J57" s="118">
        <f>E57+H57</f>
        <v>0</v>
      </c>
    </row>
    <row r="58" spans="1:10" s="14" customFormat="1" ht="13" x14ac:dyDescent="0.3">
      <c r="A58" s="127" t="s">
        <v>203</v>
      </c>
      <c r="B58" s="126"/>
      <c r="C58" s="127"/>
      <c r="D58" s="117"/>
      <c r="E58" s="118">
        <f>E38+E45+E47+E52+E54+E57</f>
        <v>0</v>
      </c>
      <c r="F58" s="127"/>
      <c r="G58" s="117"/>
      <c r="H58" s="118">
        <f>H38+H45+H47+H52+H54+H57</f>
        <v>0</v>
      </c>
      <c r="I58" s="128"/>
      <c r="J58" s="118">
        <f>E58+H58</f>
        <v>0</v>
      </c>
    </row>
    <row r="59" spans="1:10" x14ac:dyDescent="0.25">
      <c r="A59" s="5" t="s">
        <v>254</v>
      </c>
      <c r="B59" s="4"/>
      <c r="C59" s="80" t="s">
        <v>15</v>
      </c>
      <c r="D59" s="79" t="s">
        <v>239</v>
      </c>
      <c r="E59" s="76"/>
      <c r="F59" s="80" t="s">
        <v>15</v>
      </c>
      <c r="G59" s="79" t="s">
        <v>239</v>
      </c>
      <c r="H59" s="6"/>
      <c r="I59" s="17"/>
      <c r="J59" s="76"/>
    </row>
    <row r="60" spans="1:10" x14ac:dyDescent="0.25">
      <c r="A60" s="117" t="s">
        <v>207</v>
      </c>
      <c r="B60" s="126"/>
      <c r="C60" s="106"/>
      <c r="D60" s="107"/>
      <c r="E60" s="118">
        <f>C60*D60</f>
        <v>0</v>
      </c>
      <c r="F60" s="106"/>
      <c r="G60" s="107"/>
      <c r="H60" s="118">
        <f>F60*G60</f>
        <v>0</v>
      </c>
      <c r="I60" s="128"/>
      <c r="J60" s="118">
        <f>E60+H60</f>
        <v>0</v>
      </c>
    </row>
    <row r="61" spans="1:10" x14ac:dyDescent="0.25">
      <c r="A61" s="127" t="s">
        <v>255</v>
      </c>
      <c r="B61" s="121"/>
      <c r="C61" s="130"/>
      <c r="D61" s="129"/>
      <c r="E61" s="124">
        <f>SUM(E60,E58)</f>
        <v>0</v>
      </c>
      <c r="F61" s="130"/>
      <c r="G61" s="129"/>
      <c r="H61" s="124">
        <f>SUM(H58,H60)</f>
        <v>0</v>
      </c>
      <c r="I61" s="125"/>
      <c r="J61" s="118">
        <f>E61+H61</f>
        <v>0</v>
      </c>
    </row>
    <row r="62" spans="1:10" ht="13" thickBot="1" x14ac:dyDescent="0.3">
      <c r="A62" s="215" t="s">
        <v>256</v>
      </c>
      <c r="B62" s="61" t="s">
        <v>257</v>
      </c>
      <c r="C62" s="78"/>
      <c r="D62" s="19"/>
      <c r="E62" s="108">
        <v>0</v>
      </c>
      <c r="F62" s="78"/>
      <c r="G62" s="19"/>
      <c r="H62" s="108">
        <v>0</v>
      </c>
      <c r="I62" s="18"/>
      <c r="J62" s="103">
        <f>E62+H62</f>
        <v>0</v>
      </c>
    </row>
    <row r="63" spans="1:10" ht="13" thickBot="1" x14ac:dyDescent="0.3">
      <c r="A63" s="131" t="s">
        <v>255</v>
      </c>
      <c r="B63" s="132"/>
      <c r="C63" s="131"/>
      <c r="D63" s="132"/>
      <c r="E63" s="133">
        <f>SUM(E61:E62)</f>
        <v>0</v>
      </c>
      <c r="F63" s="134"/>
      <c r="G63" s="132"/>
      <c r="H63" s="133">
        <f>SUM(H61:H62)</f>
        <v>0</v>
      </c>
      <c r="I63" s="135"/>
      <c r="J63" s="133">
        <f>E63+H63</f>
        <v>0</v>
      </c>
    </row>
    <row r="64" spans="1:10" x14ac:dyDescent="0.25">
      <c r="E64" s="48"/>
    </row>
    <row r="67" spans="1:4" ht="15.5" x14ac:dyDescent="0.25">
      <c r="A67" s="260"/>
      <c r="B67" s="260"/>
      <c r="C67" s="260"/>
      <c r="D67" s="260"/>
    </row>
    <row r="68" spans="1:4" ht="15.5" x14ac:dyDescent="0.25">
      <c r="A68" s="260"/>
      <c r="B68" s="260"/>
      <c r="C68" s="260"/>
      <c r="D68" s="260"/>
    </row>
    <row r="69" spans="1:4" ht="15.5" x14ac:dyDescent="0.25">
      <c r="A69" s="57"/>
    </row>
    <row r="70" spans="1:4" ht="15.5" x14ac:dyDescent="0.25">
      <c r="A70" s="57"/>
    </row>
    <row r="71" spans="1:4" ht="13" x14ac:dyDescent="0.25">
      <c r="A71" s="58"/>
    </row>
    <row r="72" spans="1:4" ht="15.5" x14ac:dyDescent="0.25">
      <c r="A72" s="57"/>
      <c r="B72" s="57"/>
    </row>
  </sheetData>
  <mergeCells count="5">
    <mergeCell ref="A67:D67"/>
    <mergeCell ref="A68:D68"/>
    <mergeCell ref="I11:J11"/>
    <mergeCell ref="A4:H4"/>
    <mergeCell ref="A1:J1"/>
  </mergeCells>
  <phoneticPr fontId="22" type="noConversion"/>
  <pageMargins left="0.25" right="0.25" top="0.75" bottom="0.75" header="0.3" footer="0.3"/>
  <pageSetup scale="39" fitToHeight="3"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pageSetUpPr fitToPage="1"/>
  </sheetPr>
  <dimension ref="A1:P50"/>
  <sheetViews>
    <sheetView workbookViewId="0">
      <selection activeCell="B11" sqref="B11:M11"/>
    </sheetView>
  </sheetViews>
  <sheetFormatPr defaultColWidth="8.81640625" defaultRowHeight="12.5" x14ac:dyDescent="0.25"/>
  <cols>
    <col min="1" max="1" width="11.81640625" customWidth="1"/>
    <col min="2" max="2" width="20.453125" customWidth="1"/>
    <col min="3" max="3" width="19.1796875" customWidth="1"/>
    <col min="4" max="4" width="20.1796875" customWidth="1"/>
    <col min="5" max="5" width="19.81640625" customWidth="1"/>
    <col min="6" max="6" width="7.1796875" customWidth="1"/>
    <col min="8" max="8" width="11.81640625" customWidth="1"/>
    <col min="9" max="9" width="11.453125" customWidth="1"/>
    <col min="11" max="11" width="10" customWidth="1"/>
    <col min="12" max="13" width="16" customWidth="1"/>
    <col min="14" max="14" width="0" hidden="1" customWidth="1"/>
  </cols>
  <sheetData>
    <row r="1" spans="1:15" ht="15.5" x14ac:dyDescent="0.35">
      <c r="A1" s="62" t="s">
        <v>258</v>
      </c>
      <c r="B1" s="39"/>
      <c r="C1" s="52" t="s">
        <v>225</v>
      </c>
      <c r="D1" s="34"/>
      <c r="E1" s="34"/>
      <c r="F1" s="34"/>
      <c r="G1" s="34"/>
      <c r="H1" s="34"/>
      <c r="I1" s="34"/>
      <c r="J1" s="34"/>
      <c r="K1" s="34"/>
      <c r="L1" s="34"/>
      <c r="M1" s="34"/>
    </row>
    <row r="2" spans="1:15" ht="18.5" x14ac:dyDescent="0.45">
      <c r="A2" s="30"/>
      <c r="B2" s="29"/>
      <c r="C2" s="29"/>
      <c r="D2" s="29"/>
      <c r="E2" s="29"/>
      <c r="F2" s="29"/>
      <c r="G2" s="29"/>
      <c r="H2" s="29"/>
      <c r="I2" s="29"/>
      <c r="J2" s="29"/>
      <c r="K2" s="29"/>
      <c r="L2" s="29"/>
      <c r="M2" s="29"/>
    </row>
    <row r="3" spans="1:15" ht="108.5" x14ac:dyDescent="0.25">
      <c r="A3" s="45" t="s">
        <v>259</v>
      </c>
      <c r="B3" s="44" t="s">
        <v>260</v>
      </c>
      <c r="C3" s="44" t="s">
        <v>261</v>
      </c>
      <c r="D3" s="44" t="s">
        <v>262</v>
      </c>
      <c r="E3" s="44" t="s">
        <v>263</v>
      </c>
      <c r="F3" s="44" t="s">
        <v>264</v>
      </c>
      <c r="G3" s="44" t="s">
        <v>265</v>
      </c>
      <c r="H3" s="44" t="s">
        <v>266</v>
      </c>
      <c r="I3" s="53" t="s">
        <v>267</v>
      </c>
      <c r="J3" s="44" t="s">
        <v>268</v>
      </c>
      <c r="K3" s="44" t="s">
        <v>269</v>
      </c>
      <c r="L3" s="44" t="s">
        <v>270</v>
      </c>
      <c r="M3" s="44" t="s">
        <v>271</v>
      </c>
    </row>
    <row r="4" spans="1:15" ht="15.5" x14ac:dyDescent="0.25">
      <c r="A4" s="42" t="s">
        <v>15</v>
      </c>
      <c r="B4" s="40"/>
      <c r="C4" s="40"/>
      <c r="D4" s="35"/>
      <c r="E4" s="40"/>
      <c r="F4" s="35"/>
      <c r="G4" s="35"/>
      <c r="H4" s="46"/>
      <c r="I4" s="41">
        <f>F4*H4</f>
        <v>0</v>
      </c>
      <c r="J4" s="35"/>
      <c r="K4" s="40"/>
      <c r="L4" s="35"/>
      <c r="M4" s="35"/>
      <c r="N4" s="48" t="s">
        <v>272</v>
      </c>
    </row>
    <row r="5" spans="1:15" ht="15.5" x14ac:dyDescent="0.25">
      <c r="A5" s="35"/>
      <c r="B5" s="40"/>
      <c r="C5" s="40"/>
      <c r="D5" s="35"/>
      <c r="E5" s="40"/>
      <c r="F5" s="35"/>
      <c r="G5" s="35"/>
      <c r="H5" s="46"/>
      <c r="I5" s="41">
        <f t="shared" ref="I5:I8" si="0">F5*H5</f>
        <v>0</v>
      </c>
      <c r="J5" s="35"/>
      <c r="K5" s="40"/>
      <c r="L5" s="35"/>
      <c r="M5" s="35"/>
      <c r="N5" s="48" t="s">
        <v>273</v>
      </c>
    </row>
    <row r="6" spans="1:15" ht="15.5" x14ac:dyDescent="0.25">
      <c r="A6" s="35"/>
      <c r="B6" s="40"/>
      <c r="C6" s="40"/>
      <c r="D6" s="35"/>
      <c r="E6" s="40"/>
      <c r="F6" s="35"/>
      <c r="G6" s="35"/>
      <c r="H6" s="41"/>
      <c r="I6" s="41">
        <f t="shared" si="0"/>
        <v>0</v>
      </c>
      <c r="J6" s="35"/>
      <c r="K6" s="40"/>
      <c r="L6" s="35"/>
      <c r="M6" s="35"/>
    </row>
    <row r="7" spans="1:15" ht="15.5" x14ac:dyDescent="0.25">
      <c r="A7" s="42" t="s">
        <v>274</v>
      </c>
      <c r="B7" s="40"/>
      <c r="C7" s="40"/>
      <c r="D7" s="35"/>
      <c r="E7" s="40"/>
      <c r="F7" s="35"/>
      <c r="G7" s="35"/>
      <c r="H7" s="41"/>
      <c r="I7" s="41"/>
      <c r="J7" s="35"/>
      <c r="K7" s="40"/>
      <c r="L7" s="35"/>
      <c r="M7" s="35"/>
    </row>
    <row r="8" spans="1:15" ht="15.5" x14ac:dyDescent="0.25">
      <c r="A8" s="35"/>
      <c r="B8" s="40"/>
      <c r="C8" s="40"/>
      <c r="D8" s="35"/>
      <c r="E8" s="40"/>
      <c r="F8" s="35"/>
      <c r="G8" s="35"/>
      <c r="H8" s="41"/>
      <c r="I8" s="41">
        <f t="shared" si="0"/>
        <v>0</v>
      </c>
      <c r="J8" s="35"/>
      <c r="K8" s="40"/>
      <c r="L8" s="35"/>
      <c r="M8" s="35"/>
    </row>
    <row r="9" spans="1:15" ht="15.5" x14ac:dyDescent="0.25">
      <c r="A9" s="37"/>
      <c r="B9" s="37"/>
      <c r="C9" s="37"/>
      <c r="D9" s="37"/>
      <c r="E9" s="37"/>
      <c r="F9" s="37"/>
      <c r="H9" s="43" t="s">
        <v>275</v>
      </c>
      <c r="I9" s="54">
        <f>SUM(I4:I8)</f>
        <v>0</v>
      </c>
      <c r="J9" s="37"/>
      <c r="K9" s="37"/>
      <c r="L9" s="37"/>
      <c r="M9" s="37"/>
    </row>
    <row r="10" spans="1:15" x14ac:dyDescent="0.25">
      <c r="F10" s="36"/>
      <c r="G10" s="36"/>
      <c r="H10" s="36"/>
    </row>
    <row r="11" spans="1:15" ht="183" customHeight="1" x14ac:dyDescent="0.25">
      <c r="A11" s="60" t="s">
        <v>276</v>
      </c>
      <c r="B11" s="267" t="s">
        <v>277</v>
      </c>
      <c r="C11" s="268"/>
      <c r="D11" s="268"/>
      <c r="E11" s="268"/>
      <c r="F11" s="268"/>
      <c r="G11" s="268"/>
      <c r="H11" s="268"/>
      <c r="I11" s="268"/>
      <c r="J11" s="268"/>
      <c r="K11" s="268"/>
      <c r="L11" s="268"/>
      <c r="M11" s="268"/>
    </row>
    <row r="12" spans="1:15" ht="15.5" x14ac:dyDescent="0.25">
      <c r="F12" s="36"/>
      <c r="G12" s="36"/>
      <c r="H12" s="36"/>
      <c r="O12" s="57"/>
    </row>
    <row r="13" spans="1:15" ht="15.75" customHeight="1" x14ac:dyDescent="0.3">
      <c r="A13" s="259" t="s">
        <v>278</v>
      </c>
      <c r="B13" s="269" t="s">
        <v>279</v>
      </c>
      <c r="C13" s="269"/>
      <c r="D13" s="269"/>
      <c r="E13" s="269"/>
      <c r="F13" s="269"/>
      <c r="G13" s="269"/>
      <c r="H13" s="269"/>
      <c r="I13" s="269"/>
      <c r="J13" s="269"/>
      <c r="K13" s="269"/>
      <c r="L13" s="269"/>
      <c r="M13" s="269"/>
      <c r="N13" s="258"/>
      <c r="O13" s="56"/>
    </row>
    <row r="14" spans="1:15" ht="37.5" customHeight="1" x14ac:dyDescent="0.25">
      <c r="B14" s="269"/>
      <c r="C14" s="269"/>
      <c r="D14" s="269"/>
      <c r="E14" s="269"/>
      <c r="F14" s="269"/>
      <c r="G14" s="269"/>
      <c r="H14" s="269"/>
      <c r="I14" s="269"/>
      <c r="J14" s="269"/>
      <c r="K14" s="269"/>
      <c r="L14" s="269"/>
      <c r="M14" s="269"/>
      <c r="N14" s="258"/>
      <c r="O14" s="59"/>
    </row>
    <row r="15" spans="1:15" ht="14.25" customHeight="1" x14ac:dyDescent="0.35">
      <c r="B15" s="31"/>
      <c r="C15" s="31"/>
      <c r="D15" s="31"/>
      <c r="E15" s="31"/>
      <c r="F15" s="31"/>
      <c r="G15" s="31"/>
      <c r="H15" s="31"/>
      <c r="I15" s="31"/>
      <c r="J15" s="31"/>
      <c r="K15" s="31"/>
      <c r="L15" s="31"/>
      <c r="M15" s="258"/>
      <c r="N15" s="258"/>
      <c r="O15" s="56"/>
    </row>
    <row r="16" spans="1:15" ht="15.5" x14ac:dyDescent="0.35">
      <c r="A16" s="256" t="s">
        <v>280</v>
      </c>
      <c r="B16" s="271" t="s">
        <v>281</v>
      </c>
      <c r="C16" s="271"/>
      <c r="D16" s="271"/>
      <c r="E16" s="271"/>
      <c r="F16" s="271"/>
      <c r="G16" s="271"/>
      <c r="H16" s="271"/>
      <c r="I16" s="271"/>
      <c r="J16" s="271"/>
      <c r="K16" s="63"/>
      <c r="L16" s="63"/>
      <c r="M16" s="63"/>
      <c r="N16" s="63"/>
      <c r="O16" s="63"/>
    </row>
    <row r="17" spans="1:16" ht="15.5" x14ac:dyDescent="0.35">
      <c r="A17" s="63"/>
      <c r="B17" s="63"/>
      <c r="C17" s="63"/>
      <c r="D17" s="63"/>
      <c r="E17" s="63"/>
      <c r="F17" s="63"/>
      <c r="G17" s="63"/>
      <c r="H17" s="63"/>
      <c r="I17" s="63"/>
      <c r="J17" s="63"/>
      <c r="K17" s="63"/>
      <c r="L17" s="63"/>
      <c r="M17" s="63"/>
      <c r="N17" s="63"/>
      <c r="O17" s="56"/>
    </row>
    <row r="18" spans="1:16" ht="15.5" x14ac:dyDescent="0.35">
      <c r="A18" s="256" t="s">
        <v>282</v>
      </c>
      <c r="B18" s="271" t="s">
        <v>283</v>
      </c>
      <c r="C18" s="271"/>
      <c r="D18" s="271"/>
      <c r="E18" s="271"/>
      <c r="F18" s="271"/>
      <c r="G18" s="271"/>
      <c r="H18" s="271"/>
      <c r="I18" s="271"/>
      <c r="J18" s="271"/>
      <c r="K18" s="271"/>
      <c r="L18" s="63"/>
      <c r="M18" s="63"/>
      <c r="N18" s="63"/>
      <c r="O18" s="59"/>
    </row>
    <row r="19" spans="1:16" ht="15.75" customHeight="1" x14ac:dyDescent="0.35">
      <c r="A19" s="256"/>
      <c r="B19" s="263" t="s">
        <v>284</v>
      </c>
      <c r="C19" s="263"/>
      <c r="D19" s="263"/>
      <c r="E19" s="263"/>
      <c r="F19" s="263"/>
      <c r="G19" s="263"/>
      <c r="H19" s="263"/>
      <c r="I19" s="263"/>
      <c r="J19" s="263"/>
      <c r="K19" s="263"/>
      <c r="L19" s="263"/>
      <c r="M19" s="263"/>
      <c r="N19" s="63"/>
    </row>
    <row r="20" spans="1:16" ht="24.75" customHeight="1" x14ac:dyDescent="0.35">
      <c r="A20" s="256"/>
      <c r="B20" s="263"/>
      <c r="C20" s="263"/>
      <c r="D20" s="263"/>
      <c r="E20" s="263"/>
      <c r="F20" s="263"/>
      <c r="G20" s="263"/>
      <c r="H20" s="263"/>
      <c r="I20" s="263"/>
      <c r="J20" s="263"/>
      <c r="K20" s="263"/>
      <c r="L20" s="263"/>
      <c r="M20" s="263"/>
      <c r="N20" s="63"/>
    </row>
    <row r="21" spans="1:16" ht="15.75" customHeight="1" x14ac:dyDescent="0.35">
      <c r="A21" s="256"/>
      <c r="B21" s="257"/>
      <c r="C21" s="257"/>
      <c r="D21" s="257"/>
      <c r="E21" s="257"/>
      <c r="F21" s="257"/>
      <c r="G21" s="257"/>
      <c r="H21" s="257"/>
      <c r="I21" s="257"/>
      <c r="J21" s="257"/>
      <c r="K21" s="257"/>
      <c r="L21" s="31"/>
      <c r="M21" s="63"/>
      <c r="N21" s="63"/>
    </row>
    <row r="22" spans="1:16" ht="15.5" x14ac:dyDescent="0.35">
      <c r="A22" s="256"/>
      <c r="B22" s="263" t="s">
        <v>285</v>
      </c>
      <c r="C22" s="263"/>
      <c r="D22" s="263"/>
      <c r="E22" s="263"/>
      <c r="F22" s="263"/>
      <c r="G22" s="263"/>
      <c r="H22" s="263"/>
      <c r="I22" s="263"/>
      <c r="J22" s="263"/>
      <c r="K22" s="263"/>
      <c r="L22" s="263"/>
      <c r="M22" s="263"/>
      <c r="N22" s="63"/>
    </row>
    <row r="23" spans="1:16" ht="15.5" x14ac:dyDescent="0.35">
      <c r="A23" s="256"/>
      <c r="B23" s="263"/>
      <c r="C23" s="263"/>
      <c r="D23" s="263"/>
      <c r="E23" s="263"/>
      <c r="F23" s="263"/>
      <c r="G23" s="263"/>
      <c r="H23" s="263"/>
      <c r="I23" s="263"/>
      <c r="J23" s="263"/>
      <c r="K23" s="263"/>
      <c r="L23" s="263"/>
      <c r="M23" s="263"/>
      <c r="N23" s="63"/>
    </row>
    <row r="24" spans="1:16" ht="8.25" customHeight="1" x14ac:dyDescent="0.35">
      <c r="A24" s="256"/>
      <c r="B24" s="263"/>
      <c r="C24" s="263"/>
      <c r="D24" s="263"/>
      <c r="E24" s="263"/>
      <c r="F24" s="263"/>
      <c r="G24" s="263"/>
      <c r="H24" s="263"/>
      <c r="I24" s="263"/>
      <c r="J24" s="263"/>
      <c r="K24" s="263"/>
      <c r="L24" s="263"/>
      <c r="M24" s="263"/>
      <c r="N24" s="63"/>
    </row>
    <row r="25" spans="1:16" ht="15.5" x14ac:dyDescent="0.35">
      <c r="A25" s="63"/>
      <c r="B25" s="31"/>
      <c r="C25" s="31"/>
      <c r="D25" s="31"/>
      <c r="E25" s="31"/>
      <c r="F25" s="31"/>
      <c r="G25" s="31"/>
      <c r="H25" s="31"/>
      <c r="I25" s="31"/>
      <c r="J25" s="31"/>
      <c r="K25" s="31"/>
      <c r="L25" s="31"/>
      <c r="M25" s="63"/>
      <c r="N25" s="63"/>
    </row>
    <row r="26" spans="1:16" ht="15.5" x14ac:dyDescent="0.35">
      <c r="A26" s="63"/>
      <c r="B26" s="269" t="s">
        <v>286</v>
      </c>
      <c r="C26" s="269"/>
      <c r="D26" s="269"/>
      <c r="E26" s="269"/>
      <c r="F26" s="269"/>
      <c r="G26" s="269"/>
      <c r="H26" s="269"/>
      <c r="I26" s="269"/>
      <c r="J26" s="269"/>
      <c r="K26" s="269"/>
      <c r="L26" s="269"/>
      <c r="M26" s="269"/>
      <c r="N26" s="63"/>
    </row>
    <row r="27" spans="1:16" ht="12.75" customHeight="1" x14ac:dyDescent="0.35">
      <c r="A27" s="63"/>
      <c r="B27" s="269"/>
      <c r="C27" s="269"/>
      <c r="D27" s="269"/>
      <c r="E27" s="269"/>
      <c r="F27" s="269"/>
      <c r="G27" s="269"/>
      <c r="H27" s="269"/>
      <c r="I27" s="269"/>
      <c r="J27" s="269"/>
      <c r="K27" s="269"/>
      <c r="L27" s="269"/>
      <c r="M27" s="269"/>
      <c r="N27" s="63"/>
    </row>
    <row r="28" spans="1:16" ht="15.5" x14ac:dyDescent="0.35">
      <c r="A28" s="63"/>
      <c r="B28" s="31"/>
      <c r="C28" s="31"/>
      <c r="D28" s="31"/>
      <c r="E28" s="31"/>
      <c r="F28" s="31"/>
      <c r="G28" s="31"/>
      <c r="H28" s="31"/>
      <c r="I28" s="31"/>
      <c r="J28" s="31"/>
      <c r="K28" s="63"/>
      <c r="L28" s="63"/>
      <c r="M28" s="63"/>
      <c r="N28" s="63"/>
    </row>
    <row r="29" spans="1:16" ht="32.25" customHeight="1" x14ac:dyDescent="0.35">
      <c r="A29" s="55" t="s">
        <v>287</v>
      </c>
      <c r="B29" s="270" t="s">
        <v>288</v>
      </c>
      <c r="C29" s="270"/>
      <c r="D29" s="270"/>
      <c r="E29" s="270"/>
      <c r="F29" s="270"/>
      <c r="G29" s="270"/>
      <c r="H29" s="270"/>
      <c r="I29" s="270"/>
      <c r="J29" s="270"/>
      <c r="K29" s="270"/>
      <c r="L29" s="270"/>
      <c r="M29" s="270"/>
      <c r="N29" s="63"/>
      <c r="O29" s="63"/>
      <c r="P29" s="63"/>
    </row>
    <row r="30" spans="1:16" ht="15.5" x14ac:dyDescent="0.25">
      <c r="B30" s="57"/>
    </row>
    <row r="31" spans="1:16" ht="15.5" x14ac:dyDescent="0.3">
      <c r="A31" s="32"/>
      <c r="B31" s="57"/>
    </row>
    <row r="32" spans="1:16" ht="15.5" x14ac:dyDescent="0.25">
      <c r="B32" s="57"/>
    </row>
    <row r="33" spans="1:2" ht="15.5" x14ac:dyDescent="0.3">
      <c r="A33" s="32"/>
      <c r="B33" s="57"/>
    </row>
    <row r="34" spans="1:2" ht="15.5" x14ac:dyDescent="0.25">
      <c r="B34" s="57"/>
    </row>
    <row r="35" spans="1:2" ht="15.5" x14ac:dyDescent="0.3">
      <c r="A35" s="32"/>
      <c r="B35" s="57"/>
    </row>
    <row r="36" spans="1:2" ht="15.5" x14ac:dyDescent="0.25">
      <c r="B36" s="57"/>
    </row>
    <row r="37" spans="1:2" ht="15.5" x14ac:dyDescent="0.3">
      <c r="A37" s="33"/>
      <c r="B37" s="57"/>
    </row>
    <row r="38" spans="1:2" ht="15.5" x14ac:dyDescent="0.25">
      <c r="B38" s="57"/>
    </row>
    <row r="39" spans="1:2" ht="13" x14ac:dyDescent="0.3">
      <c r="A39" s="33"/>
    </row>
    <row r="41" spans="1:2" ht="13" x14ac:dyDescent="0.3">
      <c r="A41" s="33"/>
    </row>
    <row r="43" spans="1:2" ht="13" x14ac:dyDescent="0.3">
      <c r="A43" s="33"/>
    </row>
    <row r="45" spans="1:2" ht="13" x14ac:dyDescent="0.3">
      <c r="A45" s="32"/>
    </row>
    <row r="47" spans="1:2" ht="13" x14ac:dyDescent="0.3">
      <c r="A47" s="32"/>
    </row>
    <row r="50" spans="1:1" ht="13" x14ac:dyDescent="0.3">
      <c r="A50" s="32"/>
    </row>
  </sheetData>
  <mergeCells count="8">
    <mergeCell ref="B11:M11"/>
    <mergeCell ref="B26:M27"/>
    <mergeCell ref="B29:M29"/>
    <mergeCell ref="B18:K18"/>
    <mergeCell ref="B13:M14"/>
    <mergeCell ref="B19:M20"/>
    <mergeCell ref="B22:M24"/>
    <mergeCell ref="B16:J16"/>
  </mergeCells>
  <phoneticPr fontId="3" type="noConversion"/>
  <dataValidations count="1">
    <dataValidation type="list" showInputMessage="1" showErrorMessage="1" sqref="L4:L8" xr:uid="{00000000-0002-0000-1100-000000000000}">
      <formula1>$N$4:$N$5</formula1>
    </dataValidation>
  </dataValidations>
  <pageMargins left="0.75" right="0.75" top="1" bottom="1" header="0.5" footer="0.5"/>
  <pageSetup scale="67" orientation="landscape"/>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1C5EA-C6D1-42BB-93B7-0E6E7E51A710}">
  <sheetPr>
    <pageSetUpPr fitToPage="1"/>
  </sheetPr>
  <dimension ref="A1:AC35"/>
  <sheetViews>
    <sheetView zoomScaleNormal="100" workbookViewId="0">
      <selection activeCell="A16" sqref="A16"/>
    </sheetView>
  </sheetViews>
  <sheetFormatPr defaultColWidth="8.81640625" defaultRowHeight="12.5" x14ac:dyDescent="0.25"/>
  <cols>
    <col min="1" max="1" width="14.54296875" bestFit="1" customWidth="1"/>
    <col min="2" max="2" width="19.54296875" customWidth="1"/>
    <col min="3" max="3" width="11.54296875" customWidth="1"/>
    <col min="4" max="4" width="10.81640625" customWidth="1"/>
    <col min="10" max="10" width="9.54296875" customWidth="1"/>
    <col min="11" max="11" width="8.54296875" customWidth="1"/>
    <col min="12" max="12" width="11.1796875" bestFit="1" customWidth="1"/>
    <col min="13" max="13" width="9.1796875" bestFit="1" customWidth="1"/>
    <col min="14" max="14" width="12.1796875" customWidth="1"/>
    <col min="16" max="16" width="9.81640625" bestFit="1" customWidth="1"/>
    <col min="17" max="17" width="9.1796875" bestFit="1" customWidth="1"/>
    <col min="18" max="18" width="14.453125" customWidth="1"/>
    <col min="19" max="19" width="9.81640625" bestFit="1" customWidth="1"/>
    <col min="21" max="21" width="9.54296875" bestFit="1" customWidth="1"/>
    <col min="23" max="23" width="10.1796875" customWidth="1"/>
    <col min="24" max="24" width="8.54296875" customWidth="1"/>
    <col min="25" max="25" width="9.1796875" customWidth="1"/>
    <col min="26" max="26" width="11.1796875" customWidth="1"/>
    <col min="27" max="27" width="9.54296875" bestFit="1" customWidth="1"/>
  </cols>
  <sheetData>
    <row r="1" spans="1:29" s="150" customFormat="1" ht="15.5" x14ac:dyDescent="0.35">
      <c r="A1" s="147" t="s">
        <v>289</v>
      </c>
      <c r="B1" s="148" t="s">
        <v>290</v>
      </c>
      <c r="C1" s="52" t="s">
        <v>225</v>
      </c>
      <c r="D1" s="149"/>
      <c r="E1" s="149"/>
      <c r="F1" s="149"/>
      <c r="G1" s="149"/>
      <c r="H1" s="149"/>
      <c r="I1" s="149"/>
      <c r="J1" s="149"/>
      <c r="K1" s="149"/>
      <c r="L1" s="149"/>
      <c r="M1" s="149"/>
      <c r="N1" s="149"/>
      <c r="O1" s="149"/>
      <c r="P1" s="149"/>
      <c r="Q1" s="149"/>
      <c r="R1" s="149"/>
      <c r="S1" s="149"/>
    </row>
    <row r="2" spans="1:29" s="151" customFormat="1" ht="15.5" x14ac:dyDescent="0.35">
      <c r="C2" s="152"/>
      <c r="D2" s="152"/>
      <c r="E2" s="152"/>
      <c r="F2" s="152"/>
      <c r="G2" s="152"/>
      <c r="H2" s="152"/>
      <c r="I2" s="152"/>
      <c r="J2" s="152"/>
      <c r="K2" s="152"/>
      <c r="L2" s="153"/>
      <c r="M2" s="153"/>
    </row>
    <row r="3" spans="1:29" s="154" customFormat="1" ht="15" thickBot="1" x14ac:dyDescent="0.4">
      <c r="C3" s="154" t="s">
        <v>291</v>
      </c>
    </row>
    <row r="4" spans="1:29" s="165" customFormat="1" ht="87.5" thickBot="1" x14ac:dyDescent="0.4">
      <c r="A4" s="155" t="s">
        <v>292</v>
      </c>
      <c r="B4" s="156" t="s">
        <v>293</v>
      </c>
      <c r="C4" s="155" t="s">
        <v>294</v>
      </c>
      <c r="D4" s="155" t="s">
        <v>295</v>
      </c>
      <c r="E4" s="155" t="s">
        <v>296</v>
      </c>
      <c r="F4" s="155" t="s">
        <v>297</v>
      </c>
      <c r="G4" s="157" t="s">
        <v>298</v>
      </c>
      <c r="H4" s="155" t="s">
        <v>299</v>
      </c>
      <c r="I4" s="155" t="s">
        <v>300</v>
      </c>
      <c r="J4" s="155" t="s">
        <v>301</v>
      </c>
      <c r="K4" s="158" t="s">
        <v>302</v>
      </c>
      <c r="L4" s="159" t="s">
        <v>303</v>
      </c>
      <c r="M4" s="158" t="s">
        <v>304</v>
      </c>
      <c r="N4" s="159" t="s">
        <v>305</v>
      </c>
      <c r="O4" s="158" t="s">
        <v>306</v>
      </c>
      <c r="P4" s="155" t="s">
        <v>307</v>
      </c>
      <c r="Q4" s="155" t="s">
        <v>308</v>
      </c>
      <c r="R4" s="159" t="s">
        <v>309</v>
      </c>
      <c r="S4" s="158" t="s">
        <v>310</v>
      </c>
      <c r="T4" s="155" t="s">
        <v>311</v>
      </c>
      <c r="U4" s="159" t="s">
        <v>312</v>
      </c>
      <c r="V4" s="158" t="s">
        <v>313</v>
      </c>
      <c r="W4" s="160" t="s">
        <v>314</v>
      </c>
      <c r="X4" s="160" t="s">
        <v>315</v>
      </c>
      <c r="Y4" s="161" t="s">
        <v>316</v>
      </c>
      <c r="Z4" s="158" t="s">
        <v>317</v>
      </c>
      <c r="AA4" s="162" t="s">
        <v>318</v>
      </c>
      <c r="AB4" s="163" t="s">
        <v>319</v>
      </c>
      <c r="AC4" s="164" t="s">
        <v>320</v>
      </c>
    </row>
    <row r="5" spans="1:29" s="165" customFormat="1" ht="14.5" x14ac:dyDescent="0.35">
      <c r="A5" s="166"/>
      <c r="B5" s="166"/>
      <c r="C5" s="166"/>
      <c r="D5" s="166"/>
      <c r="E5" s="167"/>
      <c r="F5" s="167"/>
      <c r="G5" s="168"/>
      <c r="H5" s="169">
        <f t="shared" ref="H5:H8" si="0">IF((F5&gt;0),F5-1,0)</f>
        <v>0</v>
      </c>
      <c r="I5" s="169">
        <f t="shared" ref="I5:I13" si="1">IF(F5&gt;2,F5-2,0)</f>
        <v>0</v>
      </c>
      <c r="J5" s="169">
        <f t="shared" ref="J5:J13" si="2">IF(F5&lt;=2,F5,F5-I5)</f>
        <v>0</v>
      </c>
      <c r="K5" s="170"/>
      <c r="L5" s="171">
        <f t="shared" ref="L5:L13" si="3">+K5*E5</f>
        <v>0</v>
      </c>
      <c r="M5" s="170"/>
      <c r="N5" s="171">
        <f t="shared" ref="N5:N13" si="4">M5*E5*H5</f>
        <v>0</v>
      </c>
      <c r="O5" s="170"/>
      <c r="P5" s="172">
        <f t="shared" ref="P5:P8" si="5">+O5*E5*I5</f>
        <v>0</v>
      </c>
      <c r="Q5" s="172">
        <f t="shared" ref="Q5:Q8" si="6">(+O5*E5*J5)*0.75</f>
        <v>0</v>
      </c>
      <c r="R5" s="173">
        <f t="shared" ref="R5:R13" si="7">SUM(P5:Q5)</f>
        <v>0</v>
      </c>
      <c r="S5" s="174"/>
      <c r="T5" s="175"/>
      <c r="U5" s="176">
        <f>T5*S5*H5</f>
        <v>0</v>
      </c>
      <c r="V5" s="177"/>
      <c r="W5" s="178"/>
      <c r="X5" s="175"/>
      <c r="Y5" s="176">
        <f>W5*V5*X5</f>
        <v>0</v>
      </c>
      <c r="Z5" s="179"/>
      <c r="AA5" s="180"/>
      <c r="AB5" s="181">
        <f>+Y5+U5+R5+N5+L5+Z5+AA5</f>
        <v>0</v>
      </c>
      <c r="AC5" s="182">
        <f>+AB5*G5</f>
        <v>0</v>
      </c>
    </row>
    <row r="6" spans="1:29" s="165" customFormat="1" ht="14.5" x14ac:dyDescent="0.35">
      <c r="A6" s="166"/>
      <c r="B6" s="166"/>
      <c r="C6" s="166"/>
      <c r="D6" s="166"/>
      <c r="E6" s="167"/>
      <c r="F6" s="167"/>
      <c r="G6" s="168"/>
      <c r="H6" s="169">
        <f t="shared" si="0"/>
        <v>0</v>
      </c>
      <c r="I6" s="169">
        <f t="shared" si="1"/>
        <v>0</v>
      </c>
      <c r="J6" s="169">
        <f t="shared" si="2"/>
        <v>0</v>
      </c>
      <c r="K6" s="170"/>
      <c r="L6" s="171">
        <f t="shared" si="3"/>
        <v>0</v>
      </c>
      <c r="M6" s="170"/>
      <c r="N6" s="171">
        <f t="shared" si="4"/>
        <v>0</v>
      </c>
      <c r="O6" s="170"/>
      <c r="P6" s="172">
        <f t="shared" si="5"/>
        <v>0</v>
      </c>
      <c r="Q6" s="172">
        <f t="shared" si="6"/>
        <v>0</v>
      </c>
      <c r="R6" s="173">
        <f t="shared" si="7"/>
        <v>0</v>
      </c>
      <c r="S6" s="174"/>
      <c r="T6" s="175"/>
      <c r="U6" s="176">
        <f t="shared" ref="U6:U13" si="8">T6*S6*H6</f>
        <v>0</v>
      </c>
      <c r="V6" s="177"/>
      <c r="W6" s="178"/>
      <c r="X6" s="175"/>
      <c r="Y6" s="176">
        <f t="shared" ref="Y6:Y13" si="9">W6*V6*X6</f>
        <v>0</v>
      </c>
      <c r="Z6" s="179"/>
      <c r="AA6" s="180"/>
      <c r="AB6" s="181">
        <f>+Y6+U6+R6+N6+L6+Z6+AA6</f>
        <v>0</v>
      </c>
      <c r="AC6" s="182">
        <f>+AB6*G6</f>
        <v>0</v>
      </c>
    </row>
    <row r="7" spans="1:29" s="165" customFormat="1" ht="14.5" x14ac:dyDescent="0.35">
      <c r="A7" s="166"/>
      <c r="B7" s="166"/>
      <c r="C7" s="166"/>
      <c r="D7" s="166"/>
      <c r="E7" s="167"/>
      <c r="F7" s="167"/>
      <c r="G7" s="168"/>
      <c r="H7" s="169">
        <f t="shared" si="0"/>
        <v>0</v>
      </c>
      <c r="I7" s="169">
        <f t="shared" si="1"/>
        <v>0</v>
      </c>
      <c r="J7" s="169">
        <f t="shared" si="2"/>
        <v>0</v>
      </c>
      <c r="K7" s="170"/>
      <c r="L7" s="171">
        <f t="shared" si="3"/>
        <v>0</v>
      </c>
      <c r="M7" s="170"/>
      <c r="N7" s="171">
        <f t="shared" si="4"/>
        <v>0</v>
      </c>
      <c r="O7" s="170"/>
      <c r="P7" s="172">
        <f t="shared" si="5"/>
        <v>0</v>
      </c>
      <c r="Q7" s="172">
        <f t="shared" si="6"/>
        <v>0</v>
      </c>
      <c r="R7" s="173">
        <f t="shared" si="7"/>
        <v>0</v>
      </c>
      <c r="S7" s="174"/>
      <c r="T7" s="175"/>
      <c r="U7" s="176">
        <f t="shared" si="8"/>
        <v>0</v>
      </c>
      <c r="V7" s="177"/>
      <c r="W7" s="178"/>
      <c r="X7" s="175"/>
      <c r="Y7" s="176">
        <f t="shared" si="9"/>
        <v>0</v>
      </c>
      <c r="Z7" s="179"/>
      <c r="AA7" s="180"/>
      <c r="AB7" s="181">
        <f>+Y7+U7+R7+N7+L7+Z7+AA7</f>
        <v>0</v>
      </c>
      <c r="AC7" s="182">
        <f>+AB7*G7</f>
        <v>0</v>
      </c>
    </row>
    <row r="8" spans="1:29" s="165" customFormat="1" ht="14.5" x14ac:dyDescent="0.35">
      <c r="A8" s="166"/>
      <c r="B8" s="166"/>
      <c r="C8" s="166"/>
      <c r="D8" s="166"/>
      <c r="E8" s="167"/>
      <c r="F8" s="167"/>
      <c r="G8" s="168"/>
      <c r="H8" s="169">
        <f t="shared" si="0"/>
        <v>0</v>
      </c>
      <c r="I8" s="169">
        <f t="shared" si="1"/>
        <v>0</v>
      </c>
      <c r="J8" s="169">
        <f t="shared" si="2"/>
        <v>0</v>
      </c>
      <c r="K8" s="170"/>
      <c r="L8" s="171">
        <f t="shared" si="3"/>
        <v>0</v>
      </c>
      <c r="M8" s="170"/>
      <c r="N8" s="171">
        <f t="shared" si="4"/>
        <v>0</v>
      </c>
      <c r="O8" s="170"/>
      <c r="P8" s="172">
        <f t="shared" si="5"/>
        <v>0</v>
      </c>
      <c r="Q8" s="172">
        <f t="shared" si="6"/>
        <v>0</v>
      </c>
      <c r="R8" s="173">
        <f t="shared" si="7"/>
        <v>0</v>
      </c>
      <c r="S8" s="174"/>
      <c r="T8" s="175"/>
      <c r="U8" s="176">
        <f t="shared" si="8"/>
        <v>0</v>
      </c>
      <c r="V8" s="177"/>
      <c r="W8" s="178"/>
      <c r="X8" s="175"/>
      <c r="Y8" s="176">
        <f t="shared" si="9"/>
        <v>0</v>
      </c>
      <c r="Z8" s="179"/>
      <c r="AA8" s="180"/>
      <c r="AB8" s="181">
        <f>+Y8+U8+R8+N8+L8+Z8+AA8</f>
        <v>0</v>
      </c>
      <c r="AC8" s="182">
        <f>+AB8*G8</f>
        <v>0</v>
      </c>
    </row>
    <row r="9" spans="1:29" s="165" customFormat="1" ht="14.5" x14ac:dyDescent="0.35">
      <c r="A9" s="272" t="s">
        <v>321</v>
      </c>
      <c r="B9" s="273"/>
      <c r="C9" s="183"/>
      <c r="D9" s="183"/>
      <c r="E9" s="184"/>
      <c r="F9" s="184"/>
      <c r="G9" s="185"/>
      <c r="H9" s="186"/>
      <c r="I9" s="186"/>
      <c r="J9" s="186"/>
      <c r="K9" s="187"/>
      <c r="L9" s="188"/>
      <c r="M9" s="187"/>
      <c r="N9" s="188"/>
      <c r="O9" s="187"/>
      <c r="P9" s="172"/>
      <c r="Q9" s="172"/>
      <c r="R9" s="189"/>
      <c r="S9" s="190"/>
      <c r="T9" s="191"/>
      <c r="U9" s="192"/>
      <c r="V9" s="193"/>
      <c r="W9" s="194"/>
      <c r="X9" s="191"/>
      <c r="Y9" s="192"/>
      <c r="Z9" s="195"/>
      <c r="AA9" s="196"/>
      <c r="AB9" s="197"/>
      <c r="AC9" s="198">
        <f>SUM(AC5:AC8)</f>
        <v>0</v>
      </c>
    </row>
    <row r="10" spans="1:29" s="165" customFormat="1" ht="14.5" x14ac:dyDescent="0.35">
      <c r="A10" s="166"/>
      <c r="B10" s="166"/>
      <c r="C10" s="166"/>
      <c r="D10" s="166"/>
      <c r="E10" s="167"/>
      <c r="F10" s="167"/>
      <c r="G10" s="168"/>
      <c r="H10" s="169">
        <f>IF((F10&gt;0),F10-1,0)</f>
        <v>0</v>
      </c>
      <c r="I10" s="169">
        <f t="shared" si="1"/>
        <v>0</v>
      </c>
      <c r="J10" s="169">
        <f t="shared" si="2"/>
        <v>0</v>
      </c>
      <c r="K10" s="170"/>
      <c r="L10" s="171">
        <f t="shared" si="3"/>
        <v>0</v>
      </c>
      <c r="M10" s="170"/>
      <c r="N10" s="171">
        <f t="shared" si="4"/>
        <v>0</v>
      </c>
      <c r="O10" s="170"/>
      <c r="P10" s="172">
        <f t="shared" ref="P10:P13" si="10">+O10*E10*I10</f>
        <v>0</v>
      </c>
      <c r="Q10" s="172">
        <f t="shared" ref="Q10:Q13" si="11">(+O10*E10*J10)*0.75</f>
        <v>0</v>
      </c>
      <c r="R10" s="173">
        <f t="shared" si="7"/>
        <v>0</v>
      </c>
      <c r="S10" s="174"/>
      <c r="T10" s="175"/>
      <c r="U10" s="176">
        <f t="shared" si="8"/>
        <v>0</v>
      </c>
      <c r="V10" s="177"/>
      <c r="W10" s="178"/>
      <c r="X10" s="175"/>
      <c r="Y10" s="176">
        <f t="shared" si="9"/>
        <v>0</v>
      </c>
      <c r="Z10" s="179"/>
      <c r="AA10" s="180"/>
      <c r="AB10" s="181">
        <f>+Y10+U10+R10+N10+L10+Z10+AA10</f>
        <v>0</v>
      </c>
      <c r="AC10" s="182">
        <f>+AB10*G10</f>
        <v>0</v>
      </c>
    </row>
    <row r="11" spans="1:29" s="165" customFormat="1" ht="14.5" x14ac:dyDescent="0.35">
      <c r="A11" s="166"/>
      <c r="B11" s="166"/>
      <c r="C11" s="166"/>
      <c r="D11" s="166"/>
      <c r="E11" s="167"/>
      <c r="F11" s="167"/>
      <c r="G11" s="168"/>
      <c r="H11" s="169">
        <f t="shared" ref="H11:H13" si="12">IF((F11&gt;0),F11-1,0)</f>
        <v>0</v>
      </c>
      <c r="I11" s="169">
        <f t="shared" si="1"/>
        <v>0</v>
      </c>
      <c r="J11" s="169">
        <f t="shared" si="2"/>
        <v>0</v>
      </c>
      <c r="K11" s="170"/>
      <c r="L11" s="171">
        <f t="shared" si="3"/>
        <v>0</v>
      </c>
      <c r="M11" s="170"/>
      <c r="N11" s="171">
        <f t="shared" si="4"/>
        <v>0</v>
      </c>
      <c r="O11" s="170"/>
      <c r="P11" s="172">
        <f t="shared" si="10"/>
        <v>0</v>
      </c>
      <c r="Q11" s="172">
        <f t="shared" si="11"/>
        <v>0</v>
      </c>
      <c r="R11" s="173">
        <f t="shared" si="7"/>
        <v>0</v>
      </c>
      <c r="S11" s="174"/>
      <c r="T11" s="175"/>
      <c r="U11" s="176">
        <f t="shared" si="8"/>
        <v>0</v>
      </c>
      <c r="V11" s="177"/>
      <c r="W11" s="178"/>
      <c r="X11" s="175"/>
      <c r="Y11" s="176">
        <f t="shared" si="9"/>
        <v>0</v>
      </c>
      <c r="Z11" s="179"/>
      <c r="AA11" s="180"/>
      <c r="AB11" s="181">
        <f>+Y11+U11+R11+N11+L11+Z11+AA11</f>
        <v>0</v>
      </c>
      <c r="AC11" s="182">
        <f>+AB11*G11</f>
        <v>0</v>
      </c>
    </row>
    <row r="12" spans="1:29" s="165" customFormat="1" ht="14.5" x14ac:dyDescent="0.35">
      <c r="A12" s="166"/>
      <c r="B12" s="166"/>
      <c r="C12" s="166"/>
      <c r="D12" s="166"/>
      <c r="E12" s="167"/>
      <c r="F12" s="167"/>
      <c r="G12" s="168"/>
      <c r="H12" s="169">
        <f t="shared" si="12"/>
        <v>0</v>
      </c>
      <c r="I12" s="169">
        <f t="shared" si="1"/>
        <v>0</v>
      </c>
      <c r="J12" s="169">
        <f t="shared" si="2"/>
        <v>0</v>
      </c>
      <c r="K12" s="170"/>
      <c r="L12" s="171">
        <f t="shared" si="3"/>
        <v>0</v>
      </c>
      <c r="M12" s="170"/>
      <c r="N12" s="171">
        <f t="shared" si="4"/>
        <v>0</v>
      </c>
      <c r="O12" s="170"/>
      <c r="P12" s="172">
        <f t="shared" si="10"/>
        <v>0</v>
      </c>
      <c r="Q12" s="172">
        <f t="shared" si="11"/>
        <v>0</v>
      </c>
      <c r="R12" s="173">
        <f t="shared" si="7"/>
        <v>0</v>
      </c>
      <c r="S12" s="174"/>
      <c r="T12" s="175"/>
      <c r="U12" s="176">
        <f t="shared" si="8"/>
        <v>0</v>
      </c>
      <c r="V12" s="177"/>
      <c r="W12" s="178"/>
      <c r="X12" s="175"/>
      <c r="Y12" s="176">
        <f t="shared" si="9"/>
        <v>0</v>
      </c>
      <c r="Z12" s="179"/>
      <c r="AA12" s="180"/>
      <c r="AB12" s="181">
        <f>+Y12+U12+R12+N12+L12+Z12+AA12</f>
        <v>0</v>
      </c>
      <c r="AC12" s="182">
        <f>+AB12*G12</f>
        <v>0</v>
      </c>
    </row>
    <row r="13" spans="1:29" s="165" customFormat="1" ht="14.5" x14ac:dyDescent="0.35">
      <c r="A13" s="166"/>
      <c r="B13" s="166"/>
      <c r="C13" s="166"/>
      <c r="D13" s="166"/>
      <c r="E13" s="167"/>
      <c r="F13" s="167"/>
      <c r="G13" s="168"/>
      <c r="H13" s="169">
        <f t="shared" si="12"/>
        <v>0</v>
      </c>
      <c r="I13" s="169">
        <f t="shared" si="1"/>
        <v>0</v>
      </c>
      <c r="J13" s="169">
        <f t="shared" si="2"/>
        <v>0</v>
      </c>
      <c r="K13" s="170"/>
      <c r="L13" s="171">
        <f t="shared" si="3"/>
        <v>0</v>
      </c>
      <c r="M13" s="170"/>
      <c r="N13" s="171">
        <f t="shared" si="4"/>
        <v>0</v>
      </c>
      <c r="O13" s="170"/>
      <c r="P13" s="172">
        <f t="shared" si="10"/>
        <v>0</v>
      </c>
      <c r="Q13" s="172">
        <f t="shared" si="11"/>
        <v>0</v>
      </c>
      <c r="R13" s="173">
        <f t="shared" si="7"/>
        <v>0</v>
      </c>
      <c r="S13" s="174"/>
      <c r="T13" s="175"/>
      <c r="U13" s="176">
        <f t="shared" si="8"/>
        <v>0</v>
      </c>
      <c r="V13" s="177"/>
      <c r="W13" s="178"/>
      <c r="X13" s="175"/>
      <c r="Y13" s="176">
        <f t="shared" si="9"/>
        <v>0</v>
      </c>
      <c r="Z13" s="179"/>
      <c r="AA13" s="180"/>
      <c r="AB13" s="181">
        <f>+Y13+U13+R13+N13+L13+Z13+AA13</f>
        <v>0</v>
      </c>
      <c r="AC13" s="182">
        <f>+AB13*G13</f>
        <v>0</v>
      </c>
    </row>
    <row r="14" spans="1:29" s="165" customFormat="1" ht="14.5" x14ac:dyDescent="0.35">
      <c r="A14" s="272" t="s">
        <v>322</v>
      </c>
      <c r="B14" s="273"/>
      <c r="C14" s="183"/>
      <c r="D14" s="183"/>
      <c r="E14" s="184"/>
      <c r="F14" s="184"/>
      <c r="G14" s="185"/>
      <c r="H14" s="186"/>
      <c r="I14" s="186"/>
      <c r="J14" s="186"/>
      <c r="K14" s="187"/>
      <c r="L14" s="188"/>
      <c r="M14" s="187"/>
      <c r="N14" s="188"/>
      <c r="O14" s="187"/>
      <c r="P14" s="199"/>
      <c r="Q14" s="199"/>
      <c r="R14" s="189"/>
      <c r="S14" s="190"/>
      <c r="T14" s="191"/>
      <c r="U14" s="192"/>
      <c r="V14" s="193"/>
      <c r="W14" s="194"/>
      <c r="X14" s="191"/>
      <c r="Y14" s="192"/>
      <c r="Z14" s="195"/>
      <c r="AA14" s="196"/>
      <c r="AB14" s="197"/>
      <c r="AC14" s="198">
        <f>SUM(AC10:AC13)</f>
        <v>0</v>
      </c>
    </row>
    <row r="15" spans="1:29" s="165" customFormat="1" ht="15" thickBot="1" x14ac:dyDescent="0.4">
      <c r="A15" s="200" t="s">
        <v>323</v>
      </c>
      <c r="B15" s="201"/>
      <c r="C15" s="202"/>
      <c r="D15" s="203"/>
      <c r="E15" s="204"/>
      <c r="F15" s="204"/>
      <c r="G15" s="205"/>
      <c r="H15" s="206"/>
      <c r="I15" s="206"/>
      <c r="J15" s="206"/>
      <c r="K15" s="207"/>
      <c r="L15" s="208"/>
      <c r="M15" s="207"/>
      <c r="N15" s="208"/>
      <c r="O15" s="207"/>
      <c r="P15" s="209"/>
      <c r="Q15" s="209"/>
      <c r="R15" s="209"/>
      <c r="S15" s="207"/>
      <c r="T15" s="210"/>
      <c r="U15" s="208"/>
      <c r="V15" s="211"/>
      <c r="W15" s="212"/>
      <c r="X15" s="212"/>
      <c r="Y15" s="208"/>
      <c r="Z15" s="211"/>
      <c r="AA15" s="209"/>
      <c r="AB15" s="213"/>
      <c r="AC15" s="214">
        <f>AC9+AC14</f>
        <v>0</v>
      </c>
    </row>
    <row r="16" spans="1:29" ht="15.5" x14ac:dyDescent="0.35">
      <c r="B16" s="63"/>
      <c r="C16" s="63"/>
      <c r="D16" s="63"/>
      <c r="E16" s="63"/>
      <c r="F16" s="63"/>
      <c r="G16" s="63"/>
      <c r="H16" s="63"/>
      <c r="I16" s="63"/>
      <c r="J16" s="63"/>
      <c r="K16" s="63"/>
      <c r="L16" s="63"/>
      <c r="M16" s="63"/>
      <c r="N16" s="63"/>
      <c r="O16" s="63"/>
      <c r="P16" s="63"/>
      <c r="Q16" s="63"/>
      <c r="R16" s="63"/>
      <c r="S16" s="63"/>
    </row>
    <row r="17" spans="1:21" ht="15.5" x14ac:dyDescent="0.35">
      <c r="B17" s="63"/>
      <c r="C17" s="63"/>
      <c r="D17" s="63"/>
      <c r="E17" s="63"/>
      <c r="F17" s="63"/>
      <c r="G17" s="63"/>
      <c r="H17" s="63"/>
      <c r="I17" s="63"/>
      <c r="J17" s="63"/>
      <c r="K17" s="63"/>
      <c r="L17" s="63"/>
      <c r="M17" s="63"/>
      <c r="N17" s="63"/>
      <c r="O17" s="63"/>
      <c r="P17" s="63"/>
      <c r="Q17" s="63"/>
      <c r="R17" s="63"/>
      <c r="S17" s="63"/>
    </row>
    <row r="18" spans="1:21" ht="135" customHeight="1" x14ac:dyDescent="0.35">
      <c r="A18" s="55" t="s">
        <v>276</v>
      </c>
      <c r="B18" s="265" t="s">
        <v>324</v>
      </c>
      <c r="C18" s="274"/>
      <c r="D18" s="274"/>
      <c r="E18" s="274"/>
      <c r="F18" s="274"/>
      <c r="G18" s="274"/>
      <c r="H18" s="274"/>
      <c r="I18" s="274"/>
      <c r="J18" s="274"/>
      <c r="K18" s="274"/>
      <c r="L18" s="274"/>
      <c r="M18" s="274"/>
      <c r="N18" s="274"/>
      <c r="O18" s="274"/>
      <c r="P18" s="274"/>
      <c r="Q18" s="274"/>
      <c r="R18" s="57"/>
      <c r="S18" s="63"/>
    </row>
    <row r="19" spans="1:21" ht="15.5" x14ac:dyDescent="0.35">
      <c r="B19" s="63"/>
      <c r="C19" s="63"/>
      <c r="D19" s="63"/>
      <c r="E19" s="63"/>
      <c r="F19" s="63"/>
      <c r="G19" s="63"/>
      <c r="H19" s="63"/>
      <c r="I19" s="63"/>
      <c r="J19" s="63"/>
      <c r="K19" s="63"/>
      <c r="L19" s="63"/>
      <c r="M19" s="63"/>
      <c r="N19" s="63"/>
      <c r="O19" s="63"/>
      <c r="P19" s="63"/>
      <c r="Q19" s="63"/>
      <c r="R19" s="57"/>
      <c r="S19" s="63"/>
    </row>
    <row r="20" spans="1:21" ht="12.75" customHeight="1" x14ac:dyDescent="0.3">
      <c r="A20" s="256" t="s">
        <v>325</v>
      </c>
      <c r="B20" s="263" t="s">
        <v>326</v>
      </c>
      <c r="C20" s="263"/>
      <c r="D20" s="263"/>
      <c r="E20" s="263"/>
      <c r="F20" s="263"/>
      <c r="G20" s="263"/>
      <c r="H20" s="263"/>
      <c r="I20" s="263"/>
      <c r="J20" s="263"/>
      <c r="K20" s="263"/>
      <c r="L20" s="263"/>
      <c r="M20" s="263"/>
      <c r="N20" s="263"/>
      <c r="O20" s="263"/>
      <c r="P20" s="263"/>
      <c r="Q20" s="263"/>
      <c r="R20" s="57"/>
      <c r="S20" s="258"/>
      <c r="T20" s="258"/>
      <c r="U20" s="258"/>
    </row>
    <row r="21" spans="1:21" ht="0.75" customHeight="1" x14ac:dyDescent="0.3">
      <c r="A21" s="256"/>
      <c r="B21" s="263"/>
      <c r="C21" s="263"/>
      <c r="D21" s="263"/>
      <c r="E21" s="263"/>
      <c r="F21" s="263"/>
      <c r="G21" s="263"/>
      <c r="H21" s="263"/>
      <c r="I21" s="263"/>
      <c r="J21" s="263"/>
      <c r="K21" s="263"/>
      <c r="L21" s="263"/>
      <c r="M21" s="263"/>
      <c r="N21" s="263"/>
      <c r="O21" s="263"/>
      <c r="P21" s="263"/>
      <c r="Q21" s="263"/>
      <c r="R21" s="57"/>
      <c r="S21" s="258"/>
      <c r="T21" s="258"/>
      <c r="U21" s="258"/>
    </row>
    <row r="22" spans="1:21" ht="6" hidden="1" customHeight="1" x14ac:dyDescent="0.3">
      <c r="A22" s="256"/>
      <c r="B22" s="263"/>
      <c r="C22" s="263"/>
      <c r="D22" s="263"/>
      <c r="E22" s="263"/>
      <c r="F22" s="263"/>
      <c r="G22" s="263"/>
      <c r="H22" s="263"/>
      <c r="I22" s="263"/>
      <c r="J22" s="263"/>
      <c r="K22" s="263"/>
      <c r="L22" s="263"/>
      <c r="M22" s="263"/>
      <c r="N22" s="263"/>
      <c r="O22" s="263"/>
      <c r="P22" s="263"/>
      <c r="Q22" s="263"/>
      <c r="R22" s="57" t="s">
        <v>327</v>
      </c>
      <c r="S22" s="258"/>
      <c r="T22" s="258"/>
      <c r="U22" s="258"/>
    </row>
    <row r="23" spans="1:21" ht="14.25" customHeight="1" x14ac:dyDescent="0.3">
      <c r="A23" s="256"/>
      <c r="B23" s="256"/>
      <c r="C23" s="257"/>
      <c r="D23" s="257"/>
      <c r="E23" s="257"/>
      <c r="F23" s="257"/>
      <c r="G23" s="257"/>
      <c r="H23" s="257"/>
      <c r="I23" s="257"/>
      <c r="J23" s="257"/>
      <c r="K23" s="257"/>
      <c r="L23" s="257"/>
      <c r="M23" s="257"/>
      <c r="N23" s="257"/>
      <c r="O23" s="257"/>
      <c r="P23" s="257"/>
      <c r="Q23" s="257"/>
      <c r="R23" s="57"/>
      <c r="S23" s="258"/>
      <c r="T23" s="258"/>
      <c r="U23" s="258"/>
    </row>
    <row r="24" spans="1:21" ht="15" customHeight="1" x14ac:dyDescent="0.35">
      <c r="A24" s="256" t="s">
        <v>328</v>
      </c>
      <c r="B24" s="271" t="s">
        <v>329</v>
      </c>
      <c r="C24" s="271"/>
      <c r="D24" s="271"/>
      <c r="E24" s="271"/>
      <c r="F24" s="271"/>
      <c r="G24" s="271"/>
      <c r="H24" s="271"/>
      <c r="I24" s="271"/>
      <c r="J24" s="271"/>
      <c r="K24" s="271"/>
      <c r="L24" s="271"/>
      <c r="M24" s="271"/>
      <c r="N24" s="271"/>
      <c r="O24" s="271"/>
      <c r="P24" s="271"/>
      <c r="Q24" s="271"/>
      <c r="R24" s="57"/>
      <c r="S24" s="63"/>
    </row>
    <row r="25" spans="1:21" ht="15" customHeight="1" x14ac:dyDescent="0.35">
      <c r="A25" s="256"/>
      <c r="B25" s="256"/>
      <c r="C25" s="256"/>
      <c r="D25" s="256"/>
      <c r="E25" s="256"/>
      <c r="F25" s="256"/>
      <c r="G25" s="256"/>
      <c r="H25" s="256"/>
      <c r="I25" s="256"/>
      <c r="J25" s="256"/>
      <c r="K25" s="256"/>
      <c r="L25" s="256"/>
      <c r="M25" s="256"/>
      <c r="N25" s="256"/>
      <c r="O25" s="256"/>
      <c r="P25" s="256"/>
      <c r="Q25" s="256"/>
      <c r="R25" s="63"/>
      <c r="S25" s="63"/>
    </row>
    <row r="26" spans="1:21" ht="13" x14ac:dyDescent="0.3">
      <c r="A26" s="256" t="s">
        <v>282</v>
      </c>
      <c r="B26" s="271" t="s">
        <v>330</v>
      </c>
      <c r="C26" s="271"/>
      <c r="D26" s="271"/>
      <c r="E26" s="271"/>
      <c r="F26" s="271"/>
      <c r="G26" s="271"/>
      <c r="H26" s="271"/>
      <c r="I26" s="271"/>
      <c r="J26" s="271"/>
      <c r="K26" s="271"/>
      <c r="L26" s="271"/>
      <c r="M26" s="271"/>
      <c r="N26" s="271"/>
      <c r="O26" s="271"/>
      <c r="P26" s="271"/>
      <c r="Q26" s="271"/>
    </row>
    <row r="27" spans="1:21" ht="13" x14ac:dyDescent="0.3">
      <c r="A27" s="256"/>
      <c r="B27" s="256"/>
      <c r="C27" s="256"/>
      <c r="D27" s="256"/>
      <c r="E27" s="256"/>
      <c r="F27" s="256"/>
      <c r="G27" s="256"/>
      <c r="H27" s="256"/>
      <c r="I27" s="256"/>
      <c r="J27" s="256"/>
      <c r="K27" s="256"/>
      <c r="L27" s="256"/>
      <c r="M27" s="256"/>
      <c r="N27" s="256"/>
      <c r="O27" s="256"/>
      <c r="P27" s="256"/>
      <c r="Q27" s="256" t="s">
        <v>331</v>
      </c>
    </row>
    <row r="28" spans="1:21" ht="15.5" x14ac:dyDescent="0.35">
      <c r="B28" s="48"/>
      <c r="C28" s="63"/>
      <c r="D28" s="48"/>
      <c r="E28" s="48"/>
      <c r="F28" s="48"/>
      <c r="G28" s="48"/>
      <c r="H28" s="48"/>
      <c r="I28" s="48"/>
      <c r="J28" s="48"/>
      <c r="K28" s="48"/>
      <c r="L28" s="48"/>
      <c r="M28" s="48"/>
      <c r="N28" s="48"/>
      <c r="O28" s="48"/>
    </row>
    <row r="30" spans="1:21" ht="15.5" x14ac:dyDescent="0.25">
      <c r="B30" s="57"/>
    </row>
    <row r="31" spans="1:21" ht="15.5" x14ac:dyDescent="0.25">
      <c r="B31" s="57"/>
    </row>
    <row r="32" spans="1:21" ht="15.5" x14ac:dyDescent="0.25">
      <c r="B32" s="57"/>
    </row>
    <row r="33" spans="2:2" ht="15.5" x14ac:dyDescent="0.25">
      <c r="B33" s="57"/>
    </row>
    <row r="34" spans="2:2" ht="15.5" x14ac:dyDescent="0.25">
      <c r="B34" s="57"/>
    </row>
    <row r="35" spans="2:2" ht="15.5" x14ac:dyDescent="0.25">
      <c r="B35" s="57"/>
    </row>
  </sheetData>
  <mergeCells count="6">
    <mergeCell ref="B26:Q26"/>
    <mergeCell ref="A9:B9"/>
    <mergeCell ref="A14:B14"/>
    <mergeCell ref="B18:Q18"/>
    <mergeCell ref="B20:Q22"/>
    <mergeCell ref="B24:Q24"/>
  </mergeCells>
  <pageMargins left="0.75" right="0.75" top="1" bottom="1" header="0.5" footer="0.5"/>
  <pageSetup scale="41" orientation="landscape" horizontalDpi="1200" verticalDpi="1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DF594-DA65-458E-BDC7-4077AF6478D8}">
  <sheetPr>
    <pageSetUpPr fitToPage="1"/>
  </sheetPr>
  <dimension ref="A1:H17"/>
  <sheetViews>
    <sheetView showGridLines="0" tabSelected="1" showWhiteSpace="0" zoomScaleNormal="100" workbookViewId="0">
      <pane xSplit="1" ySplit="2" topLeftCell="B3" activePane="bottomRight" state="frozen"/>
      <selection pane="topRight" activeCell="B1" sqref="B1"/>
      <selection pane="bottomLeft" activeCell="A4" sqref="A4"/>
      <selection pane="bottomRight" activeCell="C3" sqref="C3"/>
    </sheetView>
  </sheetViews>
  <sheetFormatPr defaultColWidth="9.1796875" defaultRowHeight="14" x14ac:dyDescent="0.3"/>
  <cols>
    <col min="1" max="1" width="11.81640625" style="216" hidden="1" customWidth="1"/>
    <col min="2" max="2" width="88.81640625" style="239" bestFit="1" customWidth="1"/>
    <col min="3" max="3" width="20.81640625" style="239" customWidth="1"/>
    <col min="4" max="4" width="13.81640625" style="240" customWidth="1"/>
    <col min="5" max="5" width="14.81640625" style="216" customWidth="1"/>
    <col min="6" max="6" width="15.453125" style="216" customWidth="1"/>
    <col min="7" max="7" width="13.1796875" style="216" customWidth="1"/>
    <col min="8" max="8" width="8.1796875" style="239" customWidth="1"/>
    <col min="9" max="16384" width="9.1796875" style="216"/>
  </cols>
  <sheetData>
    <row r="1" spans="1:8" ht="46.5" customHeight="1" x14ac:dyDescent="0.3">
      <c r="A1" s="275"/>
      <c r="B1" s="275"/>
      <c r="C1" s="275"/>
      <c r="D1" s="275"/>
      <c r="E1" s="275"/>
      <c r="F1" s="275"/>
      <c r="G1" s="275"/>
      <c r="H1" s="275"/>
    </row>
    <row r="2" spans="1:8" s="219" customFormat="1" ht="45" customHeight="1" x14ac:dyDescent="0.25">
      <c r="A2" s="217" t="s">
        <v>332</v>
      </c>
      <c r="B2" s="243" t="s">
        <v>333</v>
      </c>
      <c r="C2" s="243" t="s">
        <v>334</v>
      </c>
      <c r="D2" s="218" t="s">
        <v>335</v>
      </c>
      <c r="E2" s="217" t="s">
        <v>336</v>
      </c>
      <c r="F2" s="217" t="s">
        <v>337</v>
      </c>
      <c r="G2" s="217" t="s">
        <v>338</v>
      </c>
      <c r="H2" s="217" t="s">
        <v>339</v>
      </c>
    </row>
    <row r="3" spans="1:8" s="224" customFormat="1" ht="50.15" customHeight="1" x14ac:dyDescent="0.3">
      <c r="A3" s="241">
        <v>1</v>
      </c>
      <c r="B3" s="221" t="s">
        <v>340</v>
      </c>
      <c r="C3" s="254" t="s">
        <v>368</v>
      </c>
      <c r="D3" s="242" t="s">
        <v>341</v>
      </c>
      <c r="E3" s="244"/>
      <c r="F3" s="245"/>
      <c r="G3" s="223"/>
      <c r="H3" s="223"/>
    </row>
    <row r="4" spans="1:8" s="224" customFormat="1" ht="57.65" customHeight="1" x14ac:dyDescent="0.3">
      <c r="A4" s="220">
        <v>2</v>
      </c>
      <c r="B4" s="221" t="s">
        <v>342</v>
      </c>
      <c r="C4" s="254" t="s">
        <v>343</v>
      </c>
      <c r="D4" s="222" t="s">
        <v>344</v>
      </c>
      <c r="E4" s="244"/>
      <c r="F4" s="245"/>
      <c r="G4" s="223"/>
      <c r="H4" s="223"/>
    </row>
    <row r="5" spans="1:8" s="224" customFormat="1" ht="50.15" customHeight="1" x14ac:dyDescent="0.3">
      <c r="A5" s="220">
        <v>3</v>
      </c>
      <c r="B5" s="221" t="s">
        <v>345</v>
      </c>
      <c r="C5" s="254" t="s">
        <v>346</v>
      </c>
      <c r="D5" s="222" t="s">
        <v>347</v>
      </c>
      <c r="E5" s="244"/>
      <c r="F5" s="245"/>
      <c r="G5" s="223"/>
      <c r="H5" s="223"/>
    </row>
    <row r="6" spans="1:8" s="224" customFormat="1" ht="58" customHeight="1" x14ac:dyDescent="0.3">
      <c r="A6" s="220">
        <v>4</v>
      </c>
      <c r="B6" s="221" t="s">
        <v>348</v>
      </c>
      <c r="C6" s="254" t="s">
        <v>349</v>
      </c>
      <c r="D6" s="222" t="s">
        <v>350</v>
      </c>
      <c r="E6" s="244"/>
      <c r="F6" s="245"/>
      <c r="G6" s="223"/>
      <c r="H6" s="223"/>
    </row>
    <row r="7" spans="1:8" s="224" customFormat="1" ht="72.650000000000006" customHeight="1" x14ac:dyDescent="0.3">
      <c r="A7" s="220">
        <v>5</v>
      </c>
      <c r="B7" s="221" t="s">
        <v>351</v>
      </c>
      <c r="C7" s="254" t="s">
        <v>352</v>
      </c>
      <c r="D7" s="222" t="s">
        <v>353</v>
      </c>
      <c r="E7" s="244"/>
      <c r="F7" s="245"/>
      <c r="G7" s="223"/>
      <c r="H7" s="223"/>
    </row>
    <row r="8" spans="1:8" s="224" customFormat="1" ht="50.15" customHeight="1" x14ac:dyDescent="0.3">
      <c r="A8" s="220">
        <v>6</v>
      </c>
      <c r="B8" s="221" t="s">
        <v>354</v>
      </c>
      <c r="C8" s="254" t="s">
        <v>349</v>
      </c>
      <c r="D8" s="222" t="s">
        <v>355</v>
      </c>
      <c r="E8" s="244"/>
      <c r="F8" s="245"/>
      <c r="G8" s="223"/>
      <c r="H8" s="223"/>
    </row>
    <row r="9" spans="1:8" s="224" customFormat="1" ht="27" customHeight="1" x14ac:dyDescent="0.3">
      <c r="A9" s="225" t="s">
        <v>356</v>
      </c>
      <c r="B9" s="226"/>
      <c r="C9" s="227"/>
      <c r="D9" s="228"/>
      <c r="E9" s="246">
        <f>SUM(E3:E8)</f>
        <v>0</v>
      </c>
      <c r="F9" s="249">
        <f>SUM(F3:F8)</f>
        <v>0</v>
      </c>
      <c r="G9" s="250"/>
      <c r="H9" s="251"/>
    </row>
    <row r="10" spans="1:8" s="224" customFormat="1" ht="50.15" customHeight="1" x14ac:dyDescent="0.3">
      <c r="A10" s="220">
        <v>7</v>
      </c>
      <c r="B10" s="221" t="s">
        <v>357</v>
      </c>
      <c r="C10" s="254" t="s">
        <v>346</v>
      </c>
      <c r="D10" s="222" t="s">
        <v>358</v>
      </c>
      <c r="E10" s="244"/>
      <c r="F10" s="245">
        <v>0</v>
      </c>
      <c r="G10" s="223" t="s">
        <v>359</v>
      </c>
      <c r="H10" s="223" t="s">
        <v>359</v>
      </c>
    </row>
    <row r="11" spans="1:8" s="224" customFormat="1" ht="57.65" customHeight="1" x14ac:dyDescent="0.3">
      <c r="A11" s="220">
        <v>8</v>
      </c>
      <c r="B11" s="221" t="s">
        <v>360</v>
      </c>
      <c r="C11" s="254" t="s">
        <v>349</v>
      </c>
      <c r="D11" s="222" t="s">
        <v>361</v>
      </c>
      <c r="E11" s="244"/>
      <c r="F11" s="245">
        <v>0</v>
      </c>
      <c r="G11" s="223" t="s">
        <v>359</v>
      </c>
      <c r="H11" s="223" t="s">
        <v>359</v>
      </c>
    </row>
    <row r="12" spans="1:8" s="224" customFormat="1" ht="57.65" customHeight="1" x14ac:dyDescent="0.3">
      <c r="A12" s="220">
        <v>9</v>
      </c>
      <c r="B12" s="221" t="s">
        <v>362</v>
      </c>
      <c r="C12" s="254" t="s">
        <v>352</v>
      </c>
      <c r="D12" s="222" t="s">
        <v>363</v>
      </c>
      <c r="E12" s="244"/>
      <c r="F12" s="245">
        <v>0</v>
      </c>
      <c r="G12" s="223" t="s">
        <v>359</v>
      </c>
      <c r="H12" s="223" t="s">
        <v>359</v>
      </c>
    </row>
    <row r="13" spans="1:8" s="224" customFormat="1" ht="22.5" customHeight="1" x14ac:dyDescent="0.3">
      <c r="A13" s="225" t="s">
        <v>364</v>
      </c>
      <c r="B13" s="226"/>
      <c r="C13" s="227"/>
      <c r="D13" s="228"/>
      <c r="E13" s="246">
        <f>SUM(E10:E12)</f>
        <v>0</v>
      </c>
      <c r="F13" s="249">
        <f>SUM(F10:F12)</f>
        <v>0</v>
      </c>
      <c r="G13" s="252"/>
      <c r="H13" s="251"/>
    </row>
    <row r="14" spans="1:8" s="224" customFormat="1" ht="16.5" customHeight="1" x14ac:dyDescent="0.3">
      <c r="A14" s="216"/>
      <c r="B14" s="216"/>
      <c r="C14" s="239"/>
      <c r="D14" s="229"/>
      <c r="E14" s="216"/>
      <c r="F14" s="248"/>
      <c r="G14" s="248"/>
      <c r="H14" s="248"/>
    </row>
    <row r="15" spans="1:8" ht="21.75" customHeight="1" x14ac:dyDescent="0.3">
      <c r="A15" s="230" t="s">
        <v>365</v>
      </c>
      <c r="B15" s="231"/>
      <c r="C15" s="255"/>
      <c r="D15" s="232"/>
      <c r="E15" s="247">
        <f>E9+E13</f>
        <v>0</v>
      </c>
      <c r="F15" s="247">
        <f>F9+F13</f>
        <v>0</v>
      </c>
      <c r="G15" s="233"/>
      <c r="H15" s="253"/>
    </row>
    <row r="16" spans="1:8" s="234" customFormat="1" ht="13" x14ac:dyDescent="0.3">
      <c r="A16" s="234" t="s">
        <v>366</v>
      </c>
      <c r="B16" s="235"/>
      <c r="C16" s="235"/>
      <c r="D16" s="236"/>
      <c r="H16" s="235"/>
    </row>
    <row r="17" spans="1:2" x14ac:dyDescent="0.3">
      <c r="A17" s="237" t="s">
        <v>367</v>
      </c>
      <c r="B17" s="238"/>
    </row>
  </sheetData>
  <mergeCells count="1">
    <mergeCell ref="A1:H1"/>
  </mergeCells>
  <printOptions horizontalCentered="1"/>
  <pageMargins left="0.7" right="0.7" top="0.91041666666666698" bottom="0.75" header="0.3" footer="0.3"/>
  <pageSetup scale="67" orientation="landscape" r:id="rId1"/>
  <headerFooter>
    <oddHeader xml:space="preserve">&amp;LAttachment 3 - Schedule of Milestones and Payments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9B658FCD9924439C41A369948A4EE0" ma:contentTypeVersion="20" ma:contentTypeDescription="Create a new document." ma:contentTypeScope="" ma:versionID="ecc61cc3cf998f1fca6509d688254880">
  <xsd:schema xmlns:xsd="http://www.w3.org/2001/XMLSchema" xmlns:xs="http://www.w3.org/2001/XMLSchema" xmlns:p="http://schemas.microsoft.com/office/2006/metadata/properties" xmlns:ns2="0cd26ea9-6aaa-409c-ab6d-4ad08ad0145d" xmlns:ns3="50b59d1c-721b-47d3-9451-b79b30f3c7bf" targetNamespace="http://schemas.microsoft.com/office/2006/metadata/properties" ma:root="true" ma:fieldsID="e51bb972127214d2108b82b0f260f630" ns2:_="" ns3:_="">
    <xsd:import namespace="0cd26ea9-6aaa-409c-ab6d-4ad08ad0145d"/>
    <xsd:import namespace="50b59d1c-721b-47d3-9451-b79b30f3c7b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Hyperlink"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Location" minOccurs="0"/>
                <xsd:element ref="ns2:MediaLengthInSeconds" minOccurs="0"/>
                <xsd:element ref="ns2:SortOrder" minOccurs="0"/>
                <xsd:element ref="ns2:dateandtim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d26ea9-6aaa-409c-ab6d-4ad08ad014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Hyperlink" ma:index="12" nillable="true" ma:displayName="Hyperlink"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9aa863f-a18b-4de0-9c78-b693d194da8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SortOrder" ma:index="22" nillable="true" ma:displayName="Sort Order" ma:decimals="0" ma:format="Dropdown" ma:internalName="SortOrder" ma:percentage="FALSE">
      <xsd:simpleType>
        <xsd:restriction base="dms:Number"/>
      </xsd:simpleType>
    </xsd:element>
    <xsd:element name="dateandtime" ma:index="23" nillable="true" ma:displayName="date and time" ma:format="DateOnly" ma:internalName="dateandtime">
      <xsd:simpleType>
        <xsd:restriction base="dms:DateTim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b59d1c-721b-47d3-9451-b79b30f3c7b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b10b894-4339-4970-9fe9-a3addb5e1d27}" ma:internalName="TaxCatchAll" ma:showField="CatchAllData" ma:web="50b59d1c-721b-47d3-9451-b79b30f3c7b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0b59d1c-721b-47d3-9451-b79b30f3c7bf" xsi:nil="true"/>
    <lcf76f155ced4ddcb4097134ff3c332f xmlns="0cd26ea9-6aaa-409c-ab6d-4ad08ad0145d">
      <Terms xmlns="http://schemas.microsoft.com/office/infopath/2007/PartnerControls"/>
    </lcf76f155ced4ddcb4097134ff3c332f>
    <SortOrder xmlns="0cd26ea9-6aaa-409c-ab6d-4ad08ad0145d" xsi:nil="true"/>
    <Hyperlink xmlns="0cd26ea9-6aaa-409c-ab6d-4ad08ad0145d">
      <Url xsi:nil="true"/>
      <Description xsi:nil="true"/>
    </Hyperlink>
    <dateandtime xmlns="0cd26ea9-6aaa-409c-ab6d-4ad08ad0145d" xsi:nil="true"/>
  </documentManagement>
</p:properties>
</file>

<file path=customXml/itemProps1.xml><?xml version="1.0" encoding="utf-8"?>
<ds:datastoreItem xmlns:ds="http://schemas.openxmlformats.org/officeDocument/2006/customXml" ds:itemID="{E0CE985A-DC9B-4DEF-A723-BD171ABA61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d26ea9-6aaa-409c-ab6d-4ad08ad0145d"/>
    <ds:schemaRef ds:uri="50b59d1c-721b-47d3-9451-b79b30f3c7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0650DA-5F05-41C6-B2FE-8EF40C14AB15}">
  <ds:schemaRefs>
    <ds:schemaRef ds:uri="http://schemas.microsoft.com/sharepoint/v3/contenttype/forms"/>
  </ds:schemaRefs>
</ds:datastoreItem>
</file>

<file path=customXml/itemProps3.xml><?xml version="1.0" encoding="utf-8"?>
<ds:datastoreItem xmlns:ds="http://schemas.openxmlformats.org/officeDocument/2006/customXml" ds:itemID="{48F5B623-358C-431A-B82B-A0ED183ABFD9}">
  <ds:schemaRefs>
    <ds:schemaRef ds:uri="http://schemas.microsoft.com/office/2006/metadata/properties"/>
    <ds:schemaRef ds:uri="http://schemas.microsoft.com/office/infopath/2007/PartnerControls"/>
    <ds:schemaRef ds:uri="50b59d1c-721b-47d3-9451-b79b30f3c7bf"/>
    <ds:schemaRef ds:uri="0cd26ea9-6aaa-409c-ab6d-4ad08ad0145d"/>
  </ds:schemaRefs>
</ds:datastoreItem>
</file>

<file path=docMetadata/LabelInfo.xml><?xml version="1.0" encoding="utf-8"?>
<clbl:labelList xmlns:clbl="http://schemas.microsoft.com/office/2020/mipLabelMetadata">
  <clbl:label id="{f84814b5-f44e-4690-9314-553e36b5f585}" enabled="0" method="" siteId="{f84814b5-f44e-4690-9314-553e36b5f58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45</vt:i4>
      </vt:variant>
    </vt:vector>
  </HeadingPairs>
  <TitlesOfParts>
    <vt:vector size="52" baseType="lpstr">
      <vt:lpstr>Change Notes</vt:lpstr>
      <vt:lpstr>Constants</vt:lpstr>
      <vt:lpstr>Summary Cost Table</vt:lpstr>
      <vt:lpstr>Total Amount</vt:lpstr>
      <vt:lpstr>Equipment</vt:lpstr>
      <vt:lpstr>Travel</vt:lpstr>
      <vt:lpstr>ScheduleOfMilestonesAndPayments</vt:lpstr>
      <vt:lpstr>AcademiaAdministrativeSupportCategories</vt:lpstr>
      <vt:lpstr>AcademiaConsultantCategories</vt:lpstr>
      <vt:lpstr>AcademiaLaborGroups</vt:lpstr>
      <vt:lpstr>AcademiaProjectManagementCategories</vt:lpstr>
      <vt:lpstr>AcademiaResearchCategories</vt:lpstr>
      <vt:lpstr>ff.dlrs.Base</vt:lpstr>
      <vt:lpstr>ff.dlrs.Op1</vt:lpstr>
      <vt:lpstr>GeneralConsultantCategories</vt:lpstr>
      <vt:lpstr>GeneralLaborGroups</vt:lpstr>
      <vt:lpstr>GeneralManufacturingCategories</vt:lpstr>
      <vt:lpstr>GeneralProjectManagementCategories</vt:lpstr>
      <vt:lpstr>GeneralScienceandEngineeringCategories</vt:lpstr>
      <vt:lpstr>GeneralSoftwareDevelopmentCategories</vt:lpstr>
      <vt:lpstr>GeneralSupportCategories</vt:lpstr>
      <vt:lpstr>IndirectRateCategories</vt:lpstr>
      <vt:lpstr>Labor_Cats_Sorted_Table</vt:lpstr>
      <vt:lpstr>LaborCollection</vt:lpstr>
      <vt:lpstr>NoBusinessTypeSelected</vt:lpstr>
      <vt:lpstr>OfferorBusinessTypes</vt:lpstr>
      <vt:lpstr>SBIRSTTRPhaseChoices</vt:lpstr>
      <vt:lpstr>sc.dlrs.Base</vt:lpstr>
      <vt:lpstr>sc.dlrs.Op1</vt:lpstr>
      <vt:lpstr>SmallBusinessSizeChoices</vt:lpstr>
      <vt:lpstr>SpecificAnnouncementNumber</vt:lpstr>
      <vt:lpstr>SpreadsheetVersionNumber</vt:lpstr>
      <vt:lpstr>tcc.dlrs.Base</vt:lpstr>
      <vt:lpstr>tcc.dlrs.Op1</vt:lpstr>
      <vt:lpstr>tcm.dlrs.Base</vt:lpstr>
      <vt:lpstr>tcm.dlrs.Op1</vt:lpstr>
      <vt:lpstr>tdlc.dlrs.Base</vt:lpstr>
      <vt:lpstr>tdlc.dlrs.Op1</vt:lpstr>
      <vt:lpstr>tdlc.hrs.Base</vt:lpstr>
      <vt:lpstr>tdlc.hrs.Op1</vt:lpstr>
      <vt:lpstr>tecpff.dlrs.Base</vt:lpstr>
      <vt:lpstr>tecpff.dlrs.Op1</vt:lpstr>
      <vt:lpstr>tgac.dlrs.Base</vt:lpstr>
      <vt:lpstr>tgac.dlrs.Op1</vt:lpstr>
      <vt:lpstr>tmhc.dlrs.Base</vt:lpstr>
      <vt:lpstr>tmhc.dlrs.Op1</vt:lpstr>
      <vt:lpstr>tmmc.dlrs.Base</vt:lpstr>
      <vt:lpstr>tmmc.dlrs.Op1</vt:lpstr>
      <vt:lpstr>todc.dlrs.Base</vt:lpstr>
      <vt:lpstr>todc.dlrs.Op1</vt:lpstr>
      <vt:lpstr>tsc.dlrs.Base</vt:lpstr>
      <vt:lpstr>tsc.dlrs.Op1</vt:lpstr>
    </vt:vector>
  </TitlesOfParts>
  <Manager/>
  <Company>DARPA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DARPA</dc:creator>
  <cp:keywords/>
  <dc:description/>
  <cp:lastModifiedBy>Gifford, Kelly (contr-dso)</cp:lastModifiedBy>
  <cp:revision/>
  <dcterms:created xsi:type="dcterms:W3CDTF">2006-01-30T20:56:29Z</dcterms:created>
  <dcterms:modified xsi:type="dcterms:W3CDTF">2026-02-10T17:38:07Z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0x0101006C9B658FCD9924439C41A369948A4EE0</vt:lpwstr>
  </property>
  <property fmtid="{D5CDD505-2E9C-101B-9397-08002B2CF9AE}" pid="3" name="MediaServiceImageTags">
    <vt:lpwstr/>
  </property>
</Properties>
</file>